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내 드라이브\업무\Claude\"/>
    </mc:Choice>
  </mc:AlternateContent>
  <bookViews>
    <workbookView xWindow="0" yWindow="0" windowWidth="38400" windowHeight="17820" activeTab="1"/>
  </bookViews>
  <sheets>
    <sheet name="모델_마스터" sheetId="1" r:id="rId1"/>
    <sheet name="MB" sheetId="2" r:id="rId2"/>
    <sheet name="SAP-600 MB" sheetId="3" r:id="rId3"/>
    <sheet name="Android MB" sheetId="4" r:id="rId4"/>
    <sheet name="DDR4" sheetId="5" r:id="rId5"/>
    <sheet name="SSD" sheetId="6" r:id="rId6"/>
  </sheets>
  <calcPr calcId="152511" iterateDelta="1E-4"/>
</workbook>
</file>

<file path=xl/calcChain.xml><?xml version="1.0" encoding="utf-8"?>
<calcChain xmlns="http://schemas.openxmlformats.org/spreadsheetml/2006/main">
  <c r="F37" i="6" l="1"/>
  <c r="F38" i="6" s="1"/>
  <c r="F39" i="6" s="1"/>
  <c r="F40" i="6" s="1"/>
  <c r="F41" i="6" s="1"/>
  <c r="F42" i="6" s="1"/>
  <c r="F43" i="6" s="1"/>
  <c r="F44" i="6" s="1"/>
  <c r="F45" i="6" s="1"/>
  <c r="F46" i="6" s="1"/>
  <c r="G37" i="6"/>
  <c r="G38" i="6" s="1"/>
  <c r="G39" i="6" s="1"/>
  <c r="G40" i="6" s="1"/>
  <c r="G41" i="6" s="1"/>
  <c r="G42" i="6" s="1"/>
  <c r="G43" i="6" s="1"/>
  <c r="G44" i="6" s="1"/>
  <c r="G45" i="6" s="1"/>
  <c r="G46" i="6" s="1"/>
  <c r="F47" i="6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G47" i="6"/>
  <c r="G48" i="6" s="1"/>
  <c r="G49" i="6" s="1"/>
  <c r="F59" i="6"/>
  <c r="F60" i="6" s="1"/>
  <c r="G59" i="6"/>
  <c r="F70" i="6"/>
  <c r="G70" i="6"/>
  <c r="F71" i="6"/>
  <c r="G71" i="6"/>
  <c r="F72" i="6"/>
  <c r="G72" i="6"/>
  <c r="F73" i="6"/>
  <c r="G73" i="6"/>
  <c r="F74" i="6"/>
  <c r="G74" i="6"/>
  <c r="F75" i="6"/>
  <c r="G75" i="6"/>
  <c r="F76" i="6"/>
  <c r="G76" i="6"/>
  <c r="F77" i="6"/>
  <c r="G77" i="6"/>
  <c r="F78" i="6"/>
  <c r="G78" i="6"/>
  <c r="F79" i="6"/>
  <c r="G79" i="6"/>
  <c r="F80" i="6"/>
  <c r="G80" i="6"/>
  <c r="F81" i="6"/>
  <c r="G81" i="6"/>
  <c r="F82" i="6"/>
  <c r="G82" i="6"/>
  <c r="F83" i="6"/>
  <c r="G83" i="6"/>
  <c r="F84" i="6"/>
  <c r="G84" i="6"/>
  <c r="F85" i="6"/>
  <c r="G85" i="6"/>
  <c r="F86" i="6"/>
  <c r="G86" i="6"/>
  <c r="F87" i="6"/>
  <c r="G87" i="6"/>
  <c r="F88" i="6"/>
  <c r="G88" i="6"/>
  <c r="F89" i="6"/>
  <c r="G89" i="6"/>
  <c r="F90" i="6"/>
  <c r="G90" i="6"/>
  <c r="F91" i="6"/>
  <c r="G91" i="6"/>
  <c r="F92" i="6"/>
  <c r="G92" i="6"/>
  <c r="F93" i="6"/>
  <c r="G93" i="6"/>
  <c r="F94" i="6"/>
  <c r="G94" i="6"/>
  <c r="F95" i="6"/>
  <c r="G95" i="6"/>
  <c r="F96" i="6"/>
  <c r="G96" i="6"/>
  <c r="F97" i="6"/>
  <c r="G97" i="6"/>
  <c r="F98" i="6"/>
  <c r="G98" i="6"/>
  <c r="F99" i="6"/>
  <c r="G99" i="6"/>
  <c r="G4" i="2"/>
  <c r="G4" i="6"/>
  <c r="G4" i="5"/>
  <c r="G5" i="5" s="1"/>
  <c r="G4" i="4"/>
  <c r="G4" i="3"/>
  <c r="G5" i="2"/>
  <c r="G5" i="4"/>
  <c r="G5" i="3"/>
  <c r="G6" i="2"/>
  <c r="G7" i="2" s="1"/>
  <c r="G8" i="2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/>
  <c r="G21" i="2"/>
  <c r="G22" i="2" s="1"/>
  <c r="G23" i="2" s="1"/>
  <c r="G24" i="2" s="1"/>
  <c r="G25" i="2" s="1"/>
  <c r="G26" i="2" s="1"/>
  <c r="G27" i="2" s="1"/>
  <c r="G28" i="2"/>
  <c r="G29" i="2" s="1"/>
  <c r="G30" i="2" s="1"/>
  <c r="G31" i="2" s="1"/>
  <c r="G32" i="2" s="1"/>
  <c r="G33" i="2" s="1"/>
  <c r="G34" i="2"/>
  <c r="G35" i="2" s="1"/>
  <c r="G36" i="2"/>
  <c r="G37" i="2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/>
  <c r="G51" i="2" s="1"/>
  <c r="G52" i="2" s="1"/>
  <c r="G53" i="2" s="1"/>
  <c r="G54" i="2" s="1"/>
  <c r="G55" i="2" s="1"/>
  <c r="G56" i="2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/>
  <c r="G108" i="2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/>
  <c r="G120" i="2" s="1"/>
  <c r="G121" i="2" s="1"/>
  <c r="G122" i="2" s="1"/>
  <c r="G123" i="2" s="1"/>
  <c r="G124" i="2" s="1"/>
  <c r="G125" i="2" s="1"/>
  <c r="G126" i="2" s="1"/>
  <c r="G127" i="2" s="1"/>
  <c r="G128" i="2"/>
  <c r="G129" i="2" s="1"/>
  <c r="G130" i="2" s="1"/>
  <c r="G131" i="2" s="1"/>
  <c r="G132" i="2" s="1"/>
  <c r="G133" i="2" s="1"/>
  <c r="G134" i="2" s="1"/>
  <c r="G135" i="2" s="1"/>
  <c r="G136" i="2"/>
  <c r="G137" i="2"/>
  <c r="G138" i="2" s="1"/>
  <c r="G139" i="2" s="1"/>
  <c r="G140" i="2" s="1"/>
  <c r="G141" i="2" s="1"/>
  <c r="G142" i="2" s="1"/>
  <c r="G143" i="2" s="1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F23" i="6"/>
  <c r="F24" i="6" s="1"/>
  <c r="F25" i="6" s="1"/>
  <c r="F26" i="6" s="1"/>
  <c r="F27" i="6" s="1"/>
  <c r="G23" i="6"/>
  <c r="G24" i="6" s="1"/>
  <c r="G25" i="6" s="1"/>
  <c r="F7" i="5"/>
  <c r="F8" i="5" s="1"/>
  <c r="F9" i="5" s="1"/>
  <c r="F16" i="5"/>
  <c r="G16" i="5"/>
  <c r="G17" i="5" s="1"/>
  <c r="G18" i="5" s="1"/>
  <c r="G19" i="5" s="1"/>
  <c r="F17" i="5"/>
  <c r="F18" i="5" s="1"/>
  <c r="F19" i="5" s="1"/>
  <c r="F31" i="5"/>
  <c r="G31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F48" i="5"/>
  <c r="G48" i="5"/>
  <c r="F49" i="5"/>
  <c r="G49" i="5"/>
  <c r="F50" i="5"/>
  <c r="G50" i="5"/>
  <c r="F51" i="5"/>
  <c r="G51" i="5"/>
  <c r="F52" i="5"/>
  <c r="G52" i="5"/>
  <c r="F53" i="5"/>
  <c r="G53" i="5"/>
  <c r="F54" i="5"/>
  <c r="G54" i="5"/>
  <c r="F55" i="5"/>
  <c r="G55" i="5"/>
  <c r="F56" i="5"/>
  <c r="G56" i="5"/>
  <c r="F57" i="5"/>
  <c r="G57" i="5"/>
  <c r="F58" i="5"/>
  <c r="G58" i="5"/>
  <c r="F59" i="5"/>
  <c r="G59" i="5"/>
  <c r="F60" i="5"/>
  <c r="G60" i="5"/>
  <c r="F7" i="4"/>
  <c r="F8" i="4"/>
  <c r="F9" i="4"/>
  <c r="F10" i="4"/>
  <c r="F11" i="4"/>
  <c r="F12" i="4"/>
  <c r="F13" i="4" s="1"/>
  <c r="F14" i="4" s="1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F42" i="4"/>
  <c r="G42" i="4"/>
  <c r="F43" i="4"/>
  <c r="G43" i="4"/>
  <c r="F44" i="4"/>
  <c r="G44" i="4"/>
  <c r="F45" i="4"/>
  <c r="G45" i="4"/>
  <c r="F46" i="4"/>
  <c r="G46" i="4"/>
  <c r="F47" i="4"/>
  <c r="G47" i="4"/>
  <c r="F48" i="4"/>
  <c r="G48" i="4"/>
  <c r="F49" i="4"/>
  <c r="G49" i="4"/>
  <c r="F50" i="4"/>
  <c r="G50" i="4"/>
  <c r="F51" i="4"/>
  <c r="G51" i="4"/>
  <c r="F52" i="4"/>
  <c r="G52" i="4"/>
  <c r="F7" i="3"/>
  <c r="F8" i="3"/>
  <c r="F9" i="3"/>
  <c r="F10" i="3"/>
  <c r="F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" i="4"/>
  <c r="G6" i="4" s="1"/>
  <c r="G7" i="4" s="1"/>
  <c r="G8" i="4" s="1"/>
  <c r="G9" i="4" s="1"/>
  <c r="G10" i="4" s="1"/>
  <c r="G11" i="4" s="1"/>
  <c r="G12" i="4" s="1"/>
  <c r="G13" i="4" s="1"/>
  <c r="G14" i="4" s="1"/>
  <c r="F4" i="5"/>
  <c r="F5" i="5" s="1"/>
  <c r="F4" i="6"/>
  <c r="G5" i="6" s="1"/>
  <c r="F4" i="3"/>
  <c r="F6" i="2"/>
  <c r="F7" i="2" s="1"/>
  <c r="F20" i="2"/>
  <c r="F21" i="2"/>
  <c r="F22" i="2"/>
  <c r="F23" i="2"/>
  <c r="F24" i="2" s="1"/>
  <c r="F25" i="2" s="1"/>
  <c r="F26" i="2" s="1"/>
  <c r="F27" i="2" s="1"/>
  <c r="F34" i="2"/>
  <c r="F35" i="2" s="1"/>
  <c r="F50" i="2"/>
  <c r="F51" i="2"/>
  <c r="F52" i="2"/>
  <c r="F53" i="2" s="1"/>
  <c r="F54" i="2" s="1"/>
  <c r="F55" i="2" s="1"/>
  <c r="F67" i="2"/>
  <c r="F68" i="2" s="1"/>
  <c r="F69" i="2" s="1"/>
  <c r="F90" i="2"/>
  <c r="F91" i="2"/>
  <c r="F92" i="2" s="1"/>
  <c r="F93" i="2" s="1"/>
  <c r="F94" i="2" s="1"/>
  <c r="F95" i="2" s="1"/>
  <c r="F96" i="2" s="1"/>
  <c r="F97" i="2" s="1"/>
  <c r="F107" i="2"/>
  <c r="F108" i="2" s="1"/>
  <c r="F109" i="2" s="1"/>
  <c r="F128" i="2"/>
  <c r="F129" i="2"/>
  <c r="F130" i="2"/>
  <c r="F131" i="2" s="1"/>
  <c r="F132" i="2" s="1"/>
  <c r="F133" i="2" s="1"/>
  <c r="F134" i="2" s="1"/>
  <c r="F135" i="2" s="1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5" i="2"/>
  <c r="F4" i="2"/>
  <c r="G50" i="6" l="1"/>
  <c r="G51" i="6" s="1"/>
  <c r="G52" i="6" s="1"/>
  <c r="G53" i="6" s="1"/>
  <c r="G54" i="6" s="1"/>
  <c r="G55" i="6" s="1"/>
  <c r="G56" i="6" s="1"/>
  <c r="G57" i="6" s="1"/>
  <c r="G58" i="6" s="1"/>
  <c r="F28" i="6"/>
  <c r="F29" i="6" s="1"/>
  <c r="F30" i="6" s="1"/>
  <c r="F31" i="6" s="1"/>
  <c r="F32" i="6" s="1"/>
  <c r="F61" i="6"/>
  <c r="F62" i="6" s="1"/>
  <c r="F63" i="6" s="1"/>
  <c r="G60" i="6"/>
  <c r="G61" i="6" s="1"/>
  <c r="G62" i="6" s="1"/>
  <c r="G63" i="6" s="1"/>
  <c r="F58" i="6"/>
  <c r="G26" i="6"/>
  <c r="G27" i="6" s="1"/>
  <c r="G28" i="6" s="1"/>
  <c r="G29" i="6" s="1"/>
  <c r="G30" i="6" s="1"/>
  <c r="G31" i="6" s="1"/>
  <c r="G32" i="6" s="1"/>
  <c r="F20" i="5"/>
  <c r="G20" i="5"/>
  <c r="F10" i="5"/>
  <c r="F11" i="5" s="1"/>
  <c r="F12" i="5" s="1"/>
  <c r="F13" i="5" s="1"/>
  <c r="F14" i="5" s="1"/>
  <c r="F15" i="5" s="1"/>
  <c r="G10" i="5"/>
  <c r="G11" i="5" s="1"/>
  <c r="G12" i="5" s="1"/>
  <c r="G13" i="5" s="1"/>
  <c r="G14" i="5" s="1"/>
  <c r="G15" i="5" s="1"/>
  <c r="F15" i="4"/>
  <c r="F16" i="4" s="1"/>
  <c r="F17" i="4" s="1"/>
  <c r="F18" i="4" s="1"/>
  <c r="F19" i="4" s="1"/>
  <c r="G15" i="4"/>
  <c r="G16" i="4" s="1"/>
  <c r="G17" i="4" s="1"/>
  <c r="G18" i="4" s="1"/>
  <c r="G19" i="4" s="1"/>
  <c r="G6" i="5"/>
  <c r="G7" i="5" s="1"/>
  <c r="G8" i="5" s="1"/>
  <c r="G9" i="5" s="1"/>
  <c r="F6" i="5"/>
  <c r="F5" i="3"/>
  <c r="F5" i="6"/>
  <c r="F5" i="4"/>
  <c r="F6" i="4" s="1"/>
  <c r="F28" i="2"/>
  <c r="F29" i="2" s="1"/>
  <c r="F30" i="2" s="1"/>
  <c r="F31" i="2" s="1"/>
  <c r="F32" i="2" s="1"/>
  <c r="F33" i="2" s="1"/>
  <c r="F136" i="2"/>
  <c r="F137" i="2" s="1"/>
  <c r="F56" i="2"/>
  <c r="F36" i="2"/>
  <c r="F70" i="2"/>
  <c r="F110" i="2"/>
  <c r="F111" i="2" s="1"/>
  <c r="F98" i="2"/>
  <c r="F99" i="2" s="1"/>
  <c r="F8" i="2"/>
  <c r="F9" i="2" s="1"/>
  <c r="F10" i="2" s="1"/>
  <c r="E100" i="6"/>
  <c r="D100" i="6"/>
  <c r="C100" i="6"/>
  <c r="E61" i="5"/>
  <c r="D61" i="5"/>
  <c r="C61" i="5"/>
  <c r="E53" i="4"/>
  <c r="D53" i="4"/>
  <c r="C53" i="4"/>
  <c r="E42" i="3"/>
  <c r="D42" i="3"/>
  <c r="C42" i="3"/>
  <c r="E252" i="2"/>
  <c r="D252" i="2"/>
  <c r="C252" i="2"/>
  <c r="F33" i="6" l="1"/>
  <c r="F34" i="6" s="1"/>
  <c r="F35" i="6" s="1"/>
  <c r="F36" i="6" s="1"/>
  <c r="G33" i="6"/>
  <c r="G34" i="6" s="1"/>
  <c r="G35" i="6" s="1"/>
  <c r="G36" i="6" s="1"/>
  <c r="F64" i="6"/>
  <c r="G64" i="6"/>
  <c r="F21" i="5"/>
  <c r="F22" i="5" s="1"/>
  <c r="G21" i="5"/>
  <c r="G22" i="5" s="1"/>
  <c r="F20" i="4"/>
  <c r="F21" i="4" s="1"/>
  <c r="F22" i="4" s="1"/>
  <c r="G20" i="4"/>
  <c r="G21" i="4" s="1"/>
  <c r="G22" i="4" s="1"/>
  <c r="G6" i="6"/>
  <c r="F6" i="6"/>
  <c r="G6" i="3"/>
  <c r="G7" i="3" s="1"/>
  <c r="G8" i="3" s="1"/>
  <c r="G9" i="3" s="1"/>
  <c r="G10" i="3" s="1"/>
  <c r="G11" i="3" s="1"/>
  <c r="F6" i="3"/>
  <c r="F112" i="2"/>
  <c r="F113" i="2" s="1"/>
  <c r="F11" i="2"/>
  <c r="F12" i="2" s="1"/>
  <c r="F13" i="2" s="1"/>
  <c r="F14" i="2" s="1"/>
  <c r="F15" i="2" s="1"/>
  <c r="F16" i="2" s="1"/>
  <c r="F71" i="2"/>
  <c r="F72" i="2" s="1"/>
  <c r="F100" i="2"/>
  <c r="F101" i="2" s="1"/>
  <c r="F37" i="2"/>
  <c r="F38" i="2" s="1"/>
  <c r="F39" i="2" s="1"/>
  <c r="F40" i="2" s="1"/>
  <c r="F41" i="2" s="1"/>
  <c r="F42" i="2" s="1"/>
  <c r="F43" i="2" s="1"/>
  <c r="F57" i="2"/>
  <c r="F58" i="2" s="1"/>
  <c r="F59" i="2" s="1"/>
  <c r="F60" i="2" s="1"/>
  <c r="F61" i="2" s="1"/>
  <c r="F138" i="2"/>
  <c r="F139" i="2" s="1"/>
  <c r="F140" i="2" s="1"/>
  <c r="F141" i="2" s="1"/>
  <c r="F142" i="2" s="1"/>
  <c r="F143" i="2" s="1"/>
  <c r="F65" i="6" l="1"/>
  <c r="G65" i="6"/>
  <c r="G7" i="6"/>
  <c r="G8" i="6" s="1"/>
  <c r="G9" i="6" s="1"/>
  <c r="F7" i="6"/>
  <c r="F8" i="6" s="1"/>
  <c r="F9" i="6" s="1"/>
  <c r="F23" i="5"/>
  <c r="F24" i="5" s="1"/>
  <c r="G23" i="5"/>
  <c r="G24" i="5" s="1"/>
  <c r="F62" i="2"/>
  <c r="F63" i="2" s="1"/>
  <c r="F64" i="2" s="1"/>
  <c r="F44" i="2"/>
  <c r="F45" i="2" s="1"/>
  <c r="F46" i="2" s="1"/>
  <c r="F47" i="2" s="1"/>
  <c r="F48" i="2" s="1"/>
  <c r="F49" i="2" s="1"/>
  <c r="F102" i="2"/>
  <c r="F103" i="2" s="1"/>
  <c r="F104" i="2" s="1"/>
  <c r="F105" i="2" s="1"/>
  <c r="F106" i="2" s="1"/>
  <c r="F73" i="2"/>
  <c r="F74" i="2" s="1"/>
  <c r="F17" i="2"/>
  <c r="F18" i="2" s="1"/>
  <c r="F19" i="2" s="1"/>
  <c r="F114" i="2"/>
  <c r="F115" i="2" s="1"/>
  <c r="G66" i="6" l="1"/>
  <c r="F66" i="6"/>
  <c r="F10" i="6"/>
  <c r="F11" i="6" s="1"/>
  <c r="G10" i="6"/>
  <c r="G11" i="6" s="1"/>
  <c r="F25" i="5"/>
  <c r="F26" i="5" s="1"/>
  <c r="F27" i="5" s="1"/>
  <c r="F28" i="5" s="1"/>
  <c r="F29" i="5" s="1"/>
  <c r="F30" i="5" s="1"/>
  <c r="G25" i="5"/>
  <c r="G26" i="5" s="1"/>
  <c r="G27" i="5" s="1"/>
  <c r="G28" i="5" s="1"/>
  <c r="G29" i="5" s="1"/>
  <c r="G30" i="5" s="1"/>
  <c r="F116" i="2"/>
  <c r="F117" i="2" s="1"/>
  <c r="F118" i="2" s="1"/>
  <c r="F75" i="2"/>
  <c r="F76" i="2" s="1"/>
  <c r="F65" i="2"/>
  <c r="F66" i="2" s="1"/>
  <c r="G67" i="6" l="1"/>
  <c r="F67" i="6"/>
  <c r="F12" i="6"/>
  <c r="G12" i="6"/>
  <c r="F77" i="2"/>
  <c r="F78" i="2" s="1"/>
  <c r="F119" i="2"/>
  <c r="F120" i="2" s="1"/>
  <c r="F121" i="2" s="1"/>
  <c r="F68" i="6" l="1"/>
  <c r="G68" i="6"/>
  <c r="F13" i="6"/>
  <c r="G13" i="6"/>
  <c r="F122" i="2"/>
  <c r="F123" i="2" s="1"/>
  <c r="F124" i="2" s="1"/>
  <c r="F79" i="2"/>
  <c r="F80" i="2" s="1"/>
  <c r="F81" i="2" s="1"/>
  <c r="F53" i="4"/>
  <c r="G69" i="6" l="1"/>
  <c r="F69" i="6"/>
  <c r="F14" i="6"/>
  <c r="F15" i="6" s="1"/>
  <c r="G14" i="6"/>
  <c r="G15" i="6" s="1"/>
  <c r="F82" i="2"/>
  <c r="F83" i="2" s="1"/>
  <c r="F84" i="2" s="1"/>
  <c r="F125" i="2"/>
  <c r="F126" i="2" s="1"/>
  <c r="F127" i="2" s="1"/>
  <c r="G53" i="4"/>
  <c r="F16" i="6" l="1"/>
  <c r="F17" i="6" s="1"/>
  <c r="F18" i="6" s="1"/>
  <c r="F19" i="6" s="1"/>
  <c r="F20" i="6" s="1"/>
  <c r="F21" i="6" s="1"/>
  <c r="F22" i="6" s="1"/>
  <c r="G16" i="6"/>
  <c r="G17" i="6" s="1"/>
  <c r="G18" i="6" s="1"/>
  <c r="G19" i="6" s="1"/>
  <c r="G20" i="6" s="1"/>
  <c r="G21" i="6" s="1"/>
  <c r="G22" i="6" s="1"/>
  <c r="F144" i="2"/>
  <c r="F85" i="2"/>
  <c r="F86" i="2" s="1"/>
  <c r="F87" i="2" s="1"/>
  <c r="F88" i="2" l="1"/>
  <c r="F89" i="2" s="1"/>
  <c r="F42" i="3" l="1"/>
  <c r="F61" i="5" l="1"/>
  <c r="G42" i="3"/>
  <c r="G61" i="5" l="1"/>
  <c r="F252" i="2" l="1"/>
  <c r="G252" i="2" l="1"/>
  <c r="F100" i="6" l="1"/>
  <c r="G100" i="6"/>
</calcChain>
</file>

<file path=xl/sharedStrings.xml><?xml version="1.0" encoding="utf-8"?>
<sst xmlns="http://schemas.openxmlformats.org/spreadsheetml/2006/main" count="343" uniqueCount="38">
  <si>
    <t>시트구분</t>
  </si>
  <si>
    <t>모델명</t>
  </si>
  <si>
    <t>MB</t>
  </si>
  <si>
    <t>SAPH N95 DP (43D,48D)</t>
  </si>
  <si>
    <t>SAPH N97 DP (43A,48A)</t>
  </si>
  <si>
    <t>TITAN-S N95 VGA (47B)</t>
  </si>
  <si>
    <t>TITAN-S N97 VGA (47A)</t>
  </si>
  <si>
    <t>ASTRA N95 DP (43E,48E)</t>
  </si>
  <si>
    <t>ASTRA N97 DP (43B,48B)</t>
  </si>
  <si>
    <t>FORZA N95 (46A)</t>
  </si>
  <si>
    <t>FORZA 12세대 i5 (29D)</t>
  </si>
  <si>
    <t>SAP-600 MB</t>
  </si>
  <si>
    <t>JK49-10024B (보드 기준) N3160 Realbom</t>
  </si>
  <si>
    <t>Android MB</t>
  </si>
  <si>
    <t>JK49-10041A (보드 기준) SHC-R3399-4G64G with Samsung RAM/EMMC</t>
  </si>
  <si>
    <t>DDR4</t>
  </si>
  <si>
    <t>8GB</t>
  </si>
  <si>
    <t>4GB</t>
  </si>
  <si>
    <t>SSD</t>
  </si>
  <si>
    <t>128GB 2.5" SSD</t>
  </si>
  <si>
    <t>128GB m.2 SSD</t>
  </si>
  <si>
    <t>256GB 2.5" SSD</t>
  </si>
  <si>
    <t>256GB m.2 SSD</t>
  </si>
  <si>
    <t>512GB m.2 SSD</t>
  </si>
  <si>
    <t>128GB mSATA SSD</t>
  </si>
  <si>
    <t>MB 단가 변동 및 수량 HISTORY</t>
  </si>
  <si>
    <t>모델</t>
  </si>
  <si>
    <t>입고일자</t>
  </si>
  <si>
    <t>입고수량</t>
  </si>
  <si>
    <t>단가 ($)</t>
  </si>
  <si>
    <t>사용수량</t>
  </si>
  <si>
    <t>재고수량</t>
  </si>
  <si>
    <t>합계 / 전체 평균</t>
  </si>
  <si>
    <t>SAP-600 MB 단가 변동 및 수량 HISTORY</t>
  </si>
  <si>
    <t>Android MB 단가 변동 및 수량 HISTORY</t>
  </si>
  <si>
    <t>DDR4 단가 변동 및 수량 HISTORY</t>
  </si>
  <si>
    <t>SSD 단가 변동 및 수량 HISTORY</t>
  </si>
  <si>
    <t>잔여재고단가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</si>
</sst>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yyyy\-mm\-dd"/>
    <numFmt numFmtId="177" formatCode="\$#,##0.00"/>
  </numFmts>
  <fonts count="6" x14ac:knownFonts="1">
    <font>
      <sz val="11"/>
      <color theme="1"/>
      <name val="맑은 고딕"/>
      <family val="2"/>
      <scheme val="minor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177" fontId="4" fillId="0" borderId="1" xfId="0" applyNumberFormat="1" applyFont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right" vertical="center"/>
    </xf>
    <xf numFmtId="177" fontId="1" fillId="3" borderId="1" xfId="0" applyNumberFormat="1" applyFont="1" applyFill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</cellXfs>
  <cellStyles count="1">
    <cellStyle name="표준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/>
  </sheetViews>
  <sheetFormatPr defaultRowHeight="17.399999999999999" x14ac:dyDescent="0.4"/>
  <cols>
    <col min="1" max="1" width="18" customWidth="1"/>
    <col min="2" max="2" width="65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2</v>
      </c>
      <c r="B3" t="s">
        <v>4</v>
      </c>
    </row>
    <row r="4" spans="1:2" x14ac:dyDescent="0.4">
      <c r="A4" t="s">
        <v>2</v>
      </c>
      <c r="B4" t="s">
        <v>5</v>
      </c>
    </row>
    <row r="5" spans="1:2" x14ac:dyDescent="0.4">
      <c r="A5" t="s">
        <v>2</v>
      </c>
      <c r="B5" t="s">
        <v>6</v>
      </c>
    </row>
    <row r="6" spans="1:2" x14ac:dyDescent="0.4">
      <c r="A6" t="s">
        <v>2</v>
      </c>
      <c r="B6" t="s">
        <v>7</v>
      </c>
    </row>
    <row r="7" spans="1:2" x14ac:dyDescent="0.4">
      <c r="A7" t="s">
        <v>2</v>
      </c>
      <c r="B7" t="s">
        <v>8</v>
      </c>
    </row>
    <row r="8" spans="1:2" x14ac:dyDescent="0.4">
      <c r="A8" t="s">
        <v>2</v>
      </c>
      <c r="B8" t="s">
        <v>9</v>
      </c>
    </row>
    <row r="9" spans="1:2" x14ac:dyDescent="0.4">
      <c r="A9" t="s">
        <v>2</v>
      </c>
      <c r="B9" t="s">
        <v>10</v>
      </c>
    </row>
    <row r="10" spans="1:2" x14ac:dyDescent="0.4">
      <c r="A10" t="s">
        <v>11</v>
      </c>
      <c r="B10" t="s">
        <v>12</v>
      </c>
    </row>
    <row r="11" spans="1:2" x14ac:dyDescent="0.4">
      <c r="A11" t="s">
        <v>13</v>
      </c>
      <c r="B11" t="s">
        <v>14</v>
      </c>
    </row>
    <row r="12" spans="1:2" x14ac:dyDescent="0.4">
      <c r="A12" t="s">
        <v>15</v>
      </c>
      <c r="B12" t="s">
        <v>16</v>
      </c>
    </row>
    <row r="13" spans="1:2" x14ac:dyDescent="0.4">
      <c r="A13" t="s">
        <v>15</v>
      </c>
      <c r="B13" t="s">
        <v>17</v>
      </c>
    </row>
    <row r="14" spans="1:2" x14ac:dyDescent="0.4">
      <c r="A14" t="s">
        <v>18</v>
      </c>
      <c r="B14" t="s">
        <v>19</v>
      </c>
    </row>
    <row r="15" spans="1:2" x14ac:dyDescent="0.4">
      <c r="A15" t="s">
        <v>18</v>
      </c>
      <c r="B15" t="s">
        <v>20</v>
      </c>
    </row>
    <row r="16" spans="1:2" x14ac:dyDescent="0.4">
      <c r="A16" t="s">
        <v>18</v>
      </c>
      <c r="B16" t="s">
        <v>21</v>
      </c>
    </row>
    <row r="17" spans="1:2" x14ac:dyDescent="0.4">
      <c r="A17" t="s">
        <v>18</v>
      </c>
      <c r="B17" t="s">
        <v>22</v>
      </c>
    </row>
    <row r="18" spans="1:2" x14ac:dyDescent="0.4">
      <c r="A18" t="s">
        <v>18</v>
      </c>
      <c r="B18" t="s">
        <v>23</v>
      </c>
    </row>
    <row r="19" spans="1:2" x14ac:dyDescent="0.4">
      <c r="A19" t="s">
        <v>18</v>
      </c>
      <c r="B19" t="s">
        <v>24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2"/>
  <sheetViews>
    <sheetView tabSelected="1" workbookViewId="0">
      <pane ySplit="3" topLeftCell="A4" activePane="bottomLeft" state="frozen"/>
      <selection pane="bottomLeft" activeCell="G4" sqref="G4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25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7</v>
      </c>
      <c r="B4" s="5">
        <v>45931</v>
      </c>
      <c r="C4" s="6"/>
      <c r="D4" s="7">
        <v>72.5</v>
      </c>
      <c r="E4" s="6"/>
      <c r="F4" s="6">
        <f>IF(A4="","",IF(ISNUMBER(C4),C4,0)-IF(ISNUMBER(E4),E4,0))</f>
        <v>0</v>
      </c>
      <c r="G4" s="11">
        <f>IF(A4="","",IF(IF(ISNUMBER(C4),C4,0)&lt;=0,IF(ISNUMBER(D4),D4,""),D4))</f>
        <v>72.5</v>
      </c>
      <c r="I4" s="7"/>
    </row>
    <row r="5" spans="1:9" x14ac:dyDescent="0.4">
      <c r="A5" s="4" t="s">
        <v>7</v>
      </c>
      <c r="B5" s="5">
        <v>45962</v>
      </c>
      <c r="C5" s="6"/>
      <c r="D5" s="7">
        <v>72.5</v>
      </c>
      <c r="E5" s="6"/>
      <c r="F5" s="6">
        <f>IF(A5="","",IFERROR(LOOKUP(2,1/(A$4:A4=A5),F$4:F4),0)+IF(ISNUMBER(C5),C5,0)-IF(ISNUMBER(E5),E5,0))</f>
        <v>0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72.5</v>
      </c>
      <c r="I5" s="7"/>
    </row>
    <row r="6" spans="1:9" x14ac:dyDescent="0.4">
      <c r="A6" s="4" t="s">
        <v>7</v>
      </c>
      <c r="B6" s="5">
        <v>45992</v>
      </c>
      <c r="C6" s="6"/>
      <c r="D6" s="7">
        <v>72.5</v>
      </c>
      <c r="E6" s="6"/>
      <c r="F6" s="6">
        <f>IF(A6="","",IFERROR(LOOKUP(2,1/(A$4:A5=A6),F$4:F5),0)+IF(ISNUMBER(C6),C6,0)-IF(ISNUMBER(E6),E6,0))</f>
        <v>0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72.5</v>
      </c>
      <c r="I6" s="7"/>
    </row>
    <row r="7" spans="1:9" x14ac:dyDescent="0.4">
      <c r="A7" s="4" t="s">
        <v>7</v>
      </c>
      <c r="B7" s="5">
        <v>46023</v>
      </c>
      <c r="C7" s="6"/>
      <c r="D7" s="7">
        <v>72.5</v>
      </c>
      <c r="E7" s="6"/>
      <c r="F7" s="6">
        <f>IF(A7="","",IFERROR(LOOKUP(2,1/(A$4:A6=A7),F$4:F6),0)+IF(ISNUMBER(C7),C7,0)-IF(ISNUMBER(E7),E7,0))</f>
        <v>0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72.5</v>
      </c>
      <c r="I7" s="7"/>
    </row>
    <row r="8" spans="1:9" x14ac:dyDescent="0.4">
      <c r="A8" s="4" t="s">
        <v>7</v>
      </c>
      <c r="B8" s="5">
        <v>46054</v>
      </c>
      <c r="C8" s="6">
        <v>300</v>
      </c>
      <c r="D8" s="7">
        <v>89.5</v>
      </c>
      <c r="E8" s="6">
        <v>72</v>
      </c>
      <c r="F8" s="6">
        <f>IF(A8="","",IFERROR(LOOKUP(2,1/(A$4:A7=A8),F$4:F7),0)+IF(ISNUMBER(C8),C8,0)-IF(ISNUMBER(E8),E8,0))</f>
        <v>228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89.5</v>
      </c>
      <c r="I8" s="7"/>
    </row>
    <row r="9" spans="1:9" x14ac:dyDescent="0.4">
      <c r="A9" s="4" t="s">
        <v>7</v>
      </c>
      <c r="B9" s="5">
        <v>46054</v>
      </c>
      <c r="C9" s="6"/>
      <c r="D9" s="7">
        <v>72.5</v>
      </c>
      <c r="E9" s="6"/>
      <c r="F9" s="6">
        <f>IF(A9="","",IFERROR(LOOKUP(2,1/(A$4:A8=A9),F$4:F8),0)+IF(ISNUMBER(C9),C9,0)-IF(ISNUMBER(E9),E9,0))</f>
        <v>228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89.5</v>
      </c>
      <c r="I9" s="7"/>
    </row>
    <row r="10" spans="1:9" x14ac:dyDescent="0.4">
      <c r="A10" s="4" t="s">
        <v>7</v>
      </c>
      <c r="B10" s="5">
        <v>46082</v>
      </c>
      <c r="C10" s="6"/>
      <c r="D10" s="7">
        <v>89.5</v>
      </c>
      <c r="E10" s="6">
        <v>197</v>
      </c>
      <c r="F10" s="6">
        <f>IF(A10="","",IFERROR(LOOKUP(2,1/(A$4:A9=A10),F$4:F9),0)+IF(ISNUMBER(C10),C10,0)-IF(ISNUMBER(E10),E10,0))</f>
        <v>31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89.5</v>
      </c>
      <c r="I10" s="7"/>
    </row>
    <row r="11" spans="1:9" x14ac:dyDescent="0.4">
      <c r="A11" s="4" t="s">
        <v>7</v>
      </c>
      <c r="B11" s="5">
        <v>46113</v>
      </c>
      <c r="C11" s="6">
        <v>300</v>
      </c>
      <c r="D11" s="7">
        <v>104.5</v>
      </c>
      <c r="E11" s="6">
        <v>199</v>
      </c>
      <c r="F11" s="6">
        <f>IF(A11="","",IFERROR(LOOKUP(2,1/(A$4:A10=A11),F$4:F10),0)+IF(ISNUMBER(C11),C11,0)-IF(ISNUMBER(E11),E11,0))</f>
        <v>132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103.095166163142</v>
      </c>
      <c r="I11" s="7"/>
    </row>
    <row r="12" spans="1:9" x14ac:dyDescent="0.4">
      <c r="A12" s="4" t="s">
        <v>7</v>
      </c>
      <c r="B12" s="5">
        <v>46113</v>
      </c>
      <c r="C12" s="6"/>
      <c r="D12" s="7">
        <v>89.5</v>
      </c>
      <c r="E12" s="6">
        <v>31</v>
      </c>
      <c r="F12" s="6">
        <f>IF(A12="","",IFERROR(LOOKUP(2,1/(A$4:A11=A12),F$4:F11),0)+IF(ISNUMBER(C12),C12,0)-IF(ISNUMBER(E12),E12,0))</f>
        <v>101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103.095166163142</v>
      </c>
      <c r="I12" s="7"/>
    </row>
    <row r="13" spans="1:9" x14ac:dyDescent="0.4">
      <c r="A13" s="4" t="s">
        <v>7</v>
      </c>
      <c r="B13" s="5">
        <v>46143</v>
      </c>
      <c r="C13" s="6"/>
      <c r="D13" s="7">
        <v>103.1</v>
      </c>
      <c r="E13" s="6"/>
      <c r="F13" s="6">
        <f>IF(A13="","",IFERROR(LOOKUP(2,1/(A$4:A12=A13),F$4:F12),0)+IF(ISNUMBER(C13),C13,0)-IF(ISNUMBER(E13),E13,0))</f>
        <v>101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103.095166163142</v>
      </c>
      <c r="I13" s="7"/>
    </row>
    <row r="14" spans="1:9" x14ac:dyDescent="0.4">
      <c r="A14" s="4" t="s">
        <v>7</v>
      </c>
      <c r="B14" s="5">
        <v>46174</v>
      </c>
      <c r="C14" s="6"/>
      <c r="D14" s="7">
        <v>103.1</v>
      </c>
      <c r="E14" s="6">
        <v>73</v>
      </c>
      <c r="F14" s="6">
        <f>IF(A14="","",IFERROR(LOOKUP(2,1/(A$4:A13=A14),F$4:F13),0)+IF(ISNUMBER(C14),C14,0)-IF(ISNUMBER(E14),E14,0))</f>
        <v>28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103.095166163142</v>
      </c>
      <c r="I14" s="7"/>
    </row>
    <row r="15" spans="1:9" x14ac:dyDescent="0.4">
      <c r="A15" s="4" t="s">
        <v>7</v>
      </c>
      <c r="B15" s="5">
        <v>46204</v>
      </c>
      <c r="C15" s="6"/>
      <c r="D15" s="7">
        <v>103.1</v>
      </c>
      <c r="E15" s="6"/>
      <c r="F15" s="6">
        <f>IF(A15="","",IFERROR(LOOKUP(2,1/(A$4:A14=A15),F$4:F14),0)+IF(ISNUMBER(C15),C15,0)-IF(ISNUMBER(E15),E15,0))</f>
        <v>28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103.095166163142</v>
      </c>
      <c r="I15" s="7"/>
    </row>
    <row r="16" spans="1:9" x14ac:dyDescent="0.4">
      <c r="A16" s="4" t="s">
        <v>7</v>
      </c>
      <c r="B16" s="5">
        <v>46235</v>
      </c>
      <c r="C16" s="6"/>
      <c r="D16" s="7">
        <v>103.1</v>
      </c>
      <c r="E16" s="6"/>
      <c r="F16" s="6">
        <f>IF(A16="","",IFERROR(LOOKUP(2,1/(A$4:A15=A16),F$4:F15),0)+IF(ISNUMBER(C16),C16,0)-IF(ISNUMBER(E16),E16,0))</f>
        <v>28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103.095166163142</v>
      </c>
      <c r="I16" s="7"/>
    </row>
    <row r="17" spans="1:9" x14ac:dyDescent="0.4">
      <c r="A17" s="4" t="s">
        <v>7</v>
      </c>
      <c r="B17" s="5">
        <v>46266</v>
      </c>
      <c r="C17" s="6">
        <v>672</v>
      </c>
      <c r="D17" s="7">
        <v>112.5</v>
      </c>
      <c r="E17" s="6"/>
      <c r="F17" s="6">
        <f>IF(A17="","",IFERROR(LOOKUP(2,1/(A$4:A16=A17),F$4:F16),0)+IF(ISNUMBER(C17),C17,0)-IF(ISNUMBER(E17),E17,0))</f>
        <v>700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112.12380664652569</v>
      </c>
      <c r="I17" s="7"/>
    </row>
    <row r="18" spans="1:9" x14ac:dyDescent="0.4">
      <c r="A18" s="4" t="s">
        <v>7</v>
      </c>
      <c r="B18" s="5">
        <v>46266</v>
      </c>
      <c r="C18" s="6"/>
      <c r="D18" s="7">
        <v>103.1</v>
      </c>
      <c r="E18" s="6"/>
      <c r="F18" s="6">
        <f>IF(A18="","",IFERROR(LOOKUP(2,1/(A$4:A17=A18),F$4:F17),0)+IF(ISNUMBER(C18),C18,0)-IF(ISNUMBER(E18),E18,0))</f>
        <v>700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112.12380664652569</v>
      </c>
      <c r="I18" s="7"/>
    </row>
    <row r="19" spans="1:9" x14ac:dyDescent="0.4">
      <c r="A19" s="4" t="s">
        <v>7</v>
      </c>
      <c r="B19" s="5">
        <v>46296</v>
      </c>
      <c r="C19" s="6"/>
      <c r="D19" s="7">
        <v>112.14</v>
      </c>
      <c r="E19" s="6">
        <v>140</v>
      </c>
      <c r="F19" s="6">
        <f>IF(A19="","",IFERROR(LOOKUP(2,1/(A$4:A18=A19),F$4:F18),0)+IF(ISNUMBER(C19),C19,0)-IF(ISNUMBER(E19),E19,0))</f>
        <v>560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112.12380664652569</v>
      </c>
      <c r="I19" s="7"/>
    </row>
    <row r="20" spans="1:9" x14ac:dyDescent="0.4">
      <c r="A20" s="4" t="s">
        <v>8</v>
      </c>
      <c r="B20" s="5">
        <v>45931</v>
      </c>
      <c r="C20" s="6"/>
      <c r="D20" s="7">
        <v>73.5</v>
      </c>
      <c r="E20" s="6"/>
      <c r="F20" s="6">
        <f>IF(A20="","",IFERROR(LOOKUP(2,1/(A$4:A19=A20),F$4:F19),0)+IF(ISNUMBER(C20),C20,0)-IF(ISNUMBER(E20),E20,0))</f>
        <v>0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73.5</v>
      </c>
      <c r="I20" s="7"/>
    </row>
    <row r="21" spans="1:9" x14ac:dyDescent="0.4">
      <c r="A21" s="4" t="s">
        <v>8</v>
      </c>
      <c r="B21" s="5">
        <v>45962</v>
      </c>
      <c r="C21" s="6"/>
      <c r="D21" s="7">
        <v>73.5</v>
      </c>
      <c r="E21" s="6"/>
      <c r="F21" s="6">
        <f>IF(A21="","",IFERROR(LOOKUP(2,1/(A$4:A20=A21),F$4:F20),0)+IF(ISNUMBER(C21),C21,0)-IF(ISNUMBER(E21),E21,0))</f>
        <v>0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73.5</v>
      </c>
      <c r="I21" s="7"/>
    </row>
    <row r="22" spans="1:9" x14ac:dyDescent="0.4">
      <c r="A22" s="4" t="s">
        <v>8</v>
      </c>
      <c r="B22" s="5">
        <v>45992</v>
      </c>
      <c r="C22" s="6"/>
      <c r="D22" s="7">
        <v>73.5</v>
      </c>
      <c r="E22" s="6"/>
      <c r="F22" s="6">
        <f>IF(A22="","",IFERROR(LOOKUP(2,1/(A$4:A21=A22),F$4:F21),0)+IF(ISNUMBER(C22),C22,0)-IF(ISNUMBER(E22),E22,0))</f>
        <v>0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73.5</v>
      </c>
      <c r="I22" s="7"/>
    </row>
    <row r="23" spans="1:9" x14ac:dyDescent="0.4">
      <c r="A23" s="4" t="s">
        <v>8</v>
      </c>
      <c r="B23" s="5">
        <v>46023</v>
      </c>
      <c r="C23" s="6"/>
      <c r="D23" s="7">
        <v>73.5</v>
      </c>
      <c r="E23" s="6"/>
      <c r="F23" s="6">
        <f>IF(A23="","",IFERROR(LOOKUP(2,1/(A$4:A22=A23),F$4:F22),0)+IF(ISNUMBER(C23),C23,0)-IF(ISNUMBER(E23),E23,0))</f>
        <v>0</v>
      </c>
      <c r="G23" s="11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>73.5</v>
      </c>
      <c r="I23" s="7"/>
    </row>
    <row r="24" spans="1:9" x14ac:dyDescent="0.4">
      <c r="A24" s="4" t="s">
        <v>8</v>
      </c>
      <c r="B24" s="5">
        <v>46054</v>
      </c>
      <c r="C24" s="6"/>
      <c r="D24" s="7">
        <v>73.5</v>
      </c>
      <c r="E24" s="6"/>
      <c r="F24" s="6">
        <f>IF(A24="","",IFERROR(LOOKUP(2,1/(A$4:A23=A24),F$4:F23),0)+IF(ISNUMBER(C24),C24,0)-IF(ISNUMBER(E24),E24,0))</f>
        <v>0</v>
      </c>
      <c r="G24" s="11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>73.5</v>
      </c>
      <c r="I24" s="7"/>
    </row>
    <row r="25" spans="1:9" x14ac:dyDescent="0.4">
      <c r="A25" s="4" t="s">
        <v>8</v>
      </c>
      <c r="B25" s="5">
        <v>46082</v>
      </c>
      <c r="C25" s="6"/>
      <c r="D25" s="7">
        <v>73.5</v>
      </c>
      <c r="E25" s="6"/>
      <c r="F25" s="6">
        <f>IF(A25="","",IFERROR(LOOKUP(2,1/(A$4:A24=A25),F$4:F24),0)+IF(ISNUMBER(C25),C25,0)-IF(ISNUMBER(E25),E25,0))</f>
        <v>0</v>
      </c>
      <c r="G25" s="11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>73.5</v>
      </c>
      <c r="I25" s="7"/>
    </row>
    <row r="26" spans="1:9" x14ac:dyDescent="0.4">
      <c r="A26" s="4" t="s">
        <v>8</v>
      </c>
      <c r="B26" s="5">
        <v>46113</v>
      </c>
      <c r="C26" s="6"/>
      <c r="D26" s="7">
        <v>73.5</v>
      </c>
      <c r="E26" s="6"/>
      <c r="F26" s="6">
        <f>IF(A26="","",IFERROR(LOOKUP(2,1/(A$4:A25=A26),F$4:F25),0)+IF(ISNUMBER(C26),C26,0)-IF(ISNUMBER(E26),E26,0))</f>
        <v>0</v>
      </c>
      <c r="G26" s="11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>73.5</v>
      </c>
      <c r="I26" s="7"/>
    </row>
    <row r="27" spans="1:9" x14ac:dyDescent="0.4">
      <c r="A27" s="4" t="s">
        <v>8</v>
      </c>
      <c r="B27" s="5">
        <v>46143</v>
      </c>
      <c r="C27" s="6"/>
      <c r="D27" s="7">
        <v>73.5</v>
      </c>
      <c r="E27" s="6"/>
      <c r="F27" s="6">
        <f>IF(A27="","",IFERROR(LOOKUP(2,1/(A$4:A26=A27),F$4:F26),0)+IF(ISNUMBER(C27),C27,0)-IF(ISNUMBER(E27),E27,0))</f>
        <v>0</v>
      </c>
      <c r="G27" s="11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>73.5</v>
      </c>
      <c r="I27" s="7"/>
    </row>
    <row r="28" spans="1:9" x14ac:dyDescent="0.4">
      <c r="A28" s="4" t="s">
        <v>8</v>
      </c>
      <c r="B28" s="5">
        <v>46174</v>
      </c>
      <c r="C28" s="6">
        <v>600</v>
      </c>
      <c r="D28" s="7">
        <v>91.4</v>
      </c>
      <c r="E28" s="6">
        <v>5</v>
      </c>
      <c r="F28" s="6">
        <f>IF(A28="","",IFERROR(LOOKUP(2,1/(A$4:A27=A28),F$4:F27),0)+IF(ISNUMBER(C28),C28,0)-IF(ISNUMBER(E28),E28,0))</f>
        <v>595</v>
      </c>
      <c r="G28" s="11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>91.4</v>
      </c>
      <c r="I28" s="7"/>
    </row>
    <row r="29" spans="1:9" x14ac:dyDescent="0.4">
      <c r="A29" s="4" t="s">
        <v>8</v>
      </c>
      <c r="B29" s="5">
        <v>46174</v>
      </c>
      <c r="C29" s="6"/>
      <c r="D29" s="7">
        <v>73.5</v>
      </c>
      <c r="E29" s="6"/>
      <c r="F29" s="6">
        <f>IF(A29="","",IFERROR(LOOKUP(2,1/(A$4:A28=A29),F$4:F28),0)+IF(ISNUMBER(C29),C29,0)-IF(ISNUMBER(E29),E29,0))</f>
        <v>595</v>
      </c>
      <c r="G29" s="11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>91.4</v>
      </c>
      <c r="I29" s="7"/>
    </row>
    <row r="30" spans="1:9" x14ac:dyDescent="0.4">
      <c r="A30" s="4" t="s">
        <v>8</v>
      </c>
      <c r="B30" s="5">
        <v>46204</v>
      </c>
      <c r="C30" s="6"/>
      <c r="D30" s="7">
        <v>91.4</v>
      </c>
      <c r="E30" s="6">
        <v>18</v>
      </c>
      <c r="F30" s="6">
        <f>IF(A30="","",IFERROR(LOOKUP(2,1/(A$4:A29=A30),F$4:F29),0)+IF(ISNUMBER(C30),C30,0)-IF(ISNUMBER(E30),E30,0))</f>
        <v>577</v>
      </c>
      <c r="G30" s="11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>91.4</v>
      </c>
      <c r="I30" s="7"/>
    </row>
    <row r="31" spans="1:9" x14ac:dyDescent="0.4">
      <c r="A31" s="4" t="s">
        <v>8</v>
      </c>
      <c r="B31" s="5">
        <v>46235</v>
      </c>
      <c r="C31" s="6"/>
      <c r="D31" s="7">
        <v>91.4</v>
      </c>
      <c r="E31" s="6">
        <v>80</v>
      </c>
      <c r="F31" s="6">
        <f>IF(A31="","",IFERROR(LOOKUP(2,1/(A$4:A30=A31),F$4:F30),0)+IF(ISNUMBER(C31),C31,0)-IF(ISNUMBER(E31),E31,0))</f>
        <v>497</v>
      </c>
      <c r="G31" s="11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>91.4</v>
      </c>
      <c r="I31" s="7"/>
    </row>
    <row r="32" spans="1:9" x14ac:dyDescent="0.4">
      <c r="A32" s="4" t="s">
        <v>8</v>
      </c>
      <c r="B32" s="5">
        <v>46266</v>
      </c>
      <c r="C32" s="6"/>
      <c r="D32" s="7">
        <v>91.4</v>
      </c>
      <c r="E32" s="6">
        <v>28</v>
      </c>
      <c r="F32" s="6">
        <f>IF(A32="","",IFERROR(LOOKUP(2,1/(A$4:A31=A32),F$4:F31),0)+IF(ISNUMBER(C32),C32,0)-IF(ISNUMBER(E32),E32,0))</f>
        <v>469</v>
      </c>
      <c r="G32" s="11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>91.4</v>
      </c>
      <c r="I32" s="7"/>
    </row>
    <row r="33" spans="1:9" x14ac:dyDescent="0.4">
      <c r="A33" s="4" t="s">
        <v>8</v>
      </c>
      <c r="B33" s="5">
        <v>46296</v>
      </c>
      <c r="C33" s="6"/>
      <c r="D33" s="7">
        <v>91.4</v>
      </c>
      <c r="E33" s="6">
        <v>30</v>
      </c>
      <c r="F33" s="6">
        <f>IF(A33="","",IFERROR(LOOKUP(2,1/(A$4:A32=A33),F$4:F32),0)+IF(ISNUMBER(C33),C33,0)-IF(ISNUMBER(E33),E33,0))</f>
        <v>439</v>
      </c>
      <c r="G33" s="11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>91.4</v>
      </c>
      <c r="I33" s="7"/>
    </row>
    <row r="34" spans="1:9" x14ac:dyDescent="0.4">
      <c r="A34" s="4" t="s">
        <v>10</v>
      </c>
      <c r="B34" s="5">
        <v>45931</v>
      </c>
      <c r="C34" s="6"/>
      <c r="D34" s="7">
        <v>177.6</v>
      </c>
      <c r="E34" s="6"/>
      <c r="F34" s="6">
        <f>IF(A34="","",IFERROR(LOOKUP(2,1/(A$4:A33=A34),F$4:F33),0)+IF(ISNUMBER(C34),C34,0)-IF(ISNUMBER(E34),E34,0))</f>
        <v>0</v>
      </c>
      <c r="G34" s="11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>177.6</v>
      </c>
      <c r="I34" s="7"/>
    </row>
    <row r="35" spans="1:9" x14ac:dyDescent="0.4">
      <c r="A35" s="4" t="s">
        <v>10</v>
      </c>
      <c r="B35" s="5">
        <v>45962</v>
      </c>
      <c r="C35" s="6"/>
      <c r="D35" s="7">
        <v>177.6</v>
      </c>
      <c r="E35" s="6"/>
      <c r="F35" s="6">
        <f>IF(A35="","",IFERROR(LOOKUP(2,1/(A$4:A34=A35),F$4:F34),0)+IF(ISNUMBER(C35),C35,0)-IF(ISNUMBER(E35),E35,0))</f>
        <v>0</v>
      </c>
      <c r="G35" s="11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>177.6</v>
      </c>
      <c r="I35" s="7"/>
    </row>
    <row r="36" spans="1:9" x14ac:dyDescent="0.4">
      <c r="A36" s="4" t="s">
        <v>10</v>
      </c>
      <c r="B36" s="5">
        <v>45992</v>
      </c>
      <c r="C36" s="6">
        <v>27</v>
      </c>
      <c r="D36" s="7">
        <v>177.6</v>
      </c>
      <c r="E36" s="6"/>
      <c r="F36" s="6">
        <f>IF(A36="","",IFERROR(LOOKUP(2,1/(A$4:A35=A36),F$4:F35),0)+IF(ISNUMBER(C36),C36,0)-IF(ISNUMBER(E36),E36,0))</f>
        <v>27</v>
      </c>
      <c r="G36" s="11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>177.6</v>
      </c>
      <c r="I36" s="7"/>
    </row>
    <row r="37" spans="1:9" x14ac:dyDescent="0.4">
      <c r="A37" s="4" t="s">
        <v>10</v>
      </c>
      <c r="B37" s="5">
        <v>46023</v>
      </c>
      <c r="C37" s="6">
        <v>200</v>
      </c>
      <c r="D37" s="7">
        <v>182.6</v>
      </c>
      <c r="E37" s="6">
        <v>61</v>
      </c>
      <c r="F37" s="6">
        <f>IF(A37="","",IFERROR(LOOKUP(2,1/(A$4:A36=A37),F$4:F36),0)+IF(ISNUMBER(C37),C37,0)-IF(ISNUMBER(E37),E37,0))</f>
        <v>166</v>
      </c>
      <c r="G37" s="11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>182.00528634361231</v>
      </c>
      <c r="I37" s="7"/>
    </row>
    <row r="38" spans="1:9" x14ac:dyDescent="0.4">
      <c r="A38" s="4" t="s">
        <v>10</v>
      </c>
      <c r="B38" s="5">
        <v>46023</v>
      </c>
      <c r="C38" s="6"/>
      <c r="D38" s="7">
        <v>177.6</v>
      </c>
      <c r="E38" s="6">
        <v>27</v>
      </c>
      <c r="F38" s="6">
        <f>IF(A38="","",IFERROR(LOOKUP(2,1/(A$4:A37=A38),F$4:F37),0)+IF(ISNUMBER(C38),C38,0)-IF(ISNUMBER(E38),E38,0))</f>
        <v>139</v>
      </c>
      <c r="G38" s="11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>182.00528634361231</v>
      </c>
      <c r="I38" s="7"/>
    </row>
    <row r="39" spans="1:9" x14ac:dyDescent="0.4">
      <c r="A39" s="4" t="s">
        <v>10</v>
      </c>
      <c r="B39" s="5">
        <v>46054</v>
      </c>
      <c r="C39" s="6"/>
      <c r="D39" s="7">
        <v>177.6</v>
      </c>
      <c r="E39" s="6">
        <v>20</v>
      </c>
      <c r="F39" s="6">
        <f>IF(A39="","",IFERROR(LOOKUP(2,1/(A$4:A38=A39),F$4:F38),0)+IF(ISNUMBER(C39),C39,0)-IF(ISNUMBER(E39),E39,0))</f>
        <v>119</v>
      </c>
      <c r="G39" s="11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>182.00528634361231</v>
      </c>
      <c r="I39" s="7"/>
    </row>
    <row r="40" spans="1:9" x14ac:dyDescent="0.4">
      <c r="A40" s="4" t="s">
        <v>10</v>
      </c>
      <c r="B40" s="5">
        <v>46082</v>
      </c>
      <c r="C40" s="6"/>
      <c r="D40" s="7">
        <v>177.6</v>
      </c>
      <c r="E40" s="6"/>
      <c r="F40" s="6">
        <f>IF(A40="","",IFERROR(LOOKUP(2,1/(A$4:A39=A40),F$4:F39),0)+IF(ISNUMBER(C40),C40,0)-IF(ISNUMBER(E40),E40,0))</f>
        <v>119</v>
      </c>
      <c r="G40" s="11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>182.00528634361231</v>
      </c>
      <c r="I40" s="7"/>
    </row>
    <row r="41" spans="1:9" x14ac:dyDescent="0.4">
      <c r="A41" s="4" t="s">
        <v>10</v>
      </c>
      <c r="B41" s="5">
        <v>46113</v>
      </c>
      <c r="C41" s="6"/>
      <c r="D41" s="7">
        <v>177.6</v>
      </c>
      <c r="E41" s="6">
        <v>49</v>
      </c>
      <c r="F41" s="6">
        <f>IF(A41="","",IFERROR(LOOKUP(2,1/(A$4:A40=A41),F$4:F40),0)+IF(ISNUMBER(C41),C41,0)-IF(ISNUMBER(E41),E41,0))</f>
        <v>70</v>
      </c>
      <c r="G41" s="11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>182.00528634361231</v>
      </c>
      <c r="I41" s="7"/>
    </row>
    <row r="42" spans="1:9" x14ac:dyDescent="0.4">
      <c r="A42" s="4" t="s">
        <v>10</v>
      </c>
      <c r="B42" s="5">
        <v>46143</v>
      </c>
      <c r="C42" s="6"/>
      <c r="D42" s="7">
        <v>177.6</v>
      </c>
      <c r="E42" s="6"/>
      <c r="F42" s="6">
        <f>IF(A42="","",IFERROR(LOOKUP(2,1/(A$4:A41=A42),F$4:F41),0)+IF(ISNUMBER(C42),C42,0)-IF(ISNUMBER(E42),E42,0))</f>
        <v>70</v>
      </c>
      <c r="G42" s="11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>182.00528634361231</v>
      </c>
      <c r="I42" s="7"/>
    </row>
    <row r="43" spans="1:9" x14ac:dyDescent="0.4">
      <c r="A43" s="4" t="s">
        <v>10</v>
      </c>
      <c r="B43" s="5">
        <v>46174</v>
      </c>
      <c r="C43" s="6"/>
      <c r="D43" s="7">
        <v>177.6</v>
      </c>
      <c r="E43" s="6">
        <v>15</v>
      </c>
      <c r="F43" s="6">
        <f>IF(A43="","",IFERROR(LOOKUP(2,1/(A$4:A42=A43),F$4:F42),0)+IF(ISNUMBER(C43),C43,0)-IF(ISNUMBER(E43),E43,0))</f>
        <v>55</v>
      </c>
      <c r="G43" s="11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>182.00528634361231</v>
      </c>
      <c r="I43" s="7"/>
    </row>
    <row r="44" spans="1:9" x14ac:dyDescent="0.4">
      <c r="A44" s="4" t="s">
        <v>10</v>
      </c>
      <c r="B44" s="5">
        <v>46204</v>
      </c>
      <c r="C44" s="6">
        <v>200</v>
      </c>
      <c r="D44" s="7">
        <v>206.9</v>
      </c>
      <c r="E44" s="6"/>
      <c r="F44" s="6">
        <f>IF(A44="","",IFERROR(LOOKUP(2,1/(A$4:A43=A44),F$4:F43),0)+IF(ISNUMBER(C44),C44,0)-IF(ISNUMBER(E44),E44,0))</f>
        <v>255</v>
      </c>
      <c r="G44" s="11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>201.53055195646539</v>
      </c>
      <c r="I44" s="7"/>
    </row>
    <row r="45" spans="1:9" x14ac:dyDescent="0.4">
      <c r="A45" s="4" t="s">
        <v>10</v>
      </c>
      <c r="B45" s="5">
        <v>46204</v>
      </c>
      <c r="C45" s="6"/>
      <c r="D45" s="7">
        <v>177.6</v>
      </c>
      <c r="E45" s="6">
        <v>46</v>
      </c>
      <c r="F45" s="6">
        <f>IF(A45="","",IFERROR(LOOKUP(2,1/(A$4:A44=A45),F$4:F44),0)+IF(ISNUMBER(C45),C45,0)-IF(ISNUMBER(E45),E45,0))</f>
        <v>209</v>
      </c>
      <c r="G45" s="11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>201.53055195646539</v>
      </c>
      <c r="I45" s="7"/>
    </row>
    <row r="46" spans="1:9" x14ac:dyDescent="0.4">
      <c r="A46" s="4" t="s">
        <v>10</v>
      </c>
      <c r="B46" s="5">
        <v>46235</v>
      </c>
      <c r="C46" s="6"/>
      <c r="D46" s="7">
        <v>206.9</v>
      </c>
      <c r="E46" s="6">
        <v>67</v>
      </c>
      <c r="F46" s="6">
        <f>IF(A46="","",IFERROR(LOOKUP(2,1/(A$4:A45=A46),F$4:F45),0)+IF(ISNUMBER(C46),C46,0)-IF(ISNUMBER(E46),E46,0))</f>
        <v>142</v>
      </c>
      <c r="G46" s="11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>201.53055195646539</v>
      </c>
      <c r="I46" s="7"/>
    </row>
    <row r="47" spans="1:9" x14ac:dyDescent="0.4">
      <c r="A47" s="4" t="s">
        <v>10</v>
      </c>
      <c r="B47" s="5">
        <v>46235</v>
      </c>
      <c r="C47" s="6"/>
      <c r="D47" s="7">
        <v>177.6</v>
      </c>
      <c r="E47" s="6">
        <v>9</v>
      </c>
      <c r="F47" s="6">
        <f>IF(A47="","",IFERROR(LOOKUP(2,1/(A$4:A46=A47),F$4:F46),0)+IF(ISNUMBER(C47),C47,0)-IF(ISNUMBER(E47),E47,0))</f>
        <v>133</v>
      </c>
      <c r="G47" s="11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>201.53055195646539</v>
      </c>
      <c r="I47" s="7"/>
    </row>
    <row r="48" spans="1:9" x14ac:dyDescent="0.4">
      <c r="A48" s="4" t="s">
        <v>10</v>
      </c>
      <c r="B48" s="5">
        <v>46266</v>
      </c>
      <c r="C48" s="6"/>
      <c r="D48" s="7">
        <v>200.58</v>
      </c>
      <c r="E48" s="6">
        <v>60</v>
      </c>
      <c r="F48" s="6">
        <f>IF(A48="","",IFERROR(LOOKUP(2,1/(A$4:A47=A48),F$4:F47),0)+IF(ISNUMBER(C48),C48,0)-IF(ISNUMBER(E48),E48,0))</f>
        <v>73</v>
      </c>
      <c r="G48" s="11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>201.53055195646539</v>
      </c>
      <c r="I48" s="7"/>
    </row>
    <row r="49" spans="1:9" x14ac:dyDescent="0.4">
      <c r="A49" s="4" t="s">
        <v>10</v>
      </c>
      <c r="B49" s="5">
        <v>46296</v>
      </c>
      <c r="C49" s="6"/>
      <c r="D49" s="7">
        <v>200.58</v>
      </c>
      <c r="E49" s="6">
        <v>50</v>
      </c>
      <c r="F49" s="6">
        <f>IF(A49="","",IFERROR(LOOKUP(2,1/(A$4:A48=A49),F$4:F48),0)+IF(ISNUMBER(C49),C49,0)-IF(ISNUMBER(E49),E49,0))</f>
        <v>23</v>
      </c>
      <c r="G49" s="11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>201.53055195646539</v>
      </c>
      <c r="I49" s="7"/>
    </row>
    <row r="50" spans="1:9" x14ac:dyDescent="0.4">
      <c r="A50" s="4" t="s">
        <v>9</v>
      </c>
      <c r="B50" s="5">
        <v>45931</v>
      </c>
      <c r="C50" s="6"/>
      <c r="D50" s="7">
        <v>78</v>
      </c>
      <c r="E50" s="6"/>
      <c r="F50" s="6">
        <f>IF(A50="","",IFERROR(LOOKUP(2,1/(A$4:A49=A50),F$4:F49),0)+IF(ISNUMBER(C50),C50,0)-IF(ISNUMBER(E50),E50,0))</f>
        <v>0</v>
      </c>
      <c r="G50" s="11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>78</v>
      </c>
      <c r="I50" s="7"/>
    </row>
    <row r="51" spans="1:9" x14ac:dyDescent="0.4">
      <c r="A51" s="4" t="s">
        <v>9</v>
      </c>
      <c r="B51" s="5">
        <v>45962</v>
      </c>
      <c r="C51" s="6"/>
      <c r="D51" s="7">
        <v>78</v>
      </c>
      <c r="E51" s="6"/>
      <c r="F51" s="6">
        <f>IF(A51="","",IFERROR(LOOKUP(2,1/(A$4:A50=A51),F$4:F50),0)+IF(ISNUMBER(C51),C51,0)-IF(ISNUMBER(E51),E51,0))</f>
        <v>0</v>
      </c>
      <c r="G51" s="11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>78</v>
      </c>
      <c r="I51" s="7"/>
    </row>
    <row r="52" spans="1:9" x14ac:dyDescent="0.4">
      <c r="A52" s="4" t="s">
        <v>9</v>
      </c>
      <c r="B52" s="5">
        <v>45992</v>
      </c>
      <c r="C52" s="6"/>
      <c r="D52" s="7">
        <v>78</v>
      </c>
      <c r="E52" s="6"/>
      <c r="F52" s="6">
        <f>IF(A52="","",IFERROR(LOOKUP(2,1/(A$4:A51=A52),F$4:F51),0)+IF(ISNUMBER(C52),C52,0)-IF(ISNUMBER(E52),E52,0))</f>
        <v>0</v>
      </c>
      <c r="G52" s="11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>78</v>
      </c>
      <c r="I52" s="7"/>
    </row>
    <row r="53" spans="1:9" x14ac:dyDescent="0.4">
      <c r="A53" s="4" t="s">
        <v>9</v>
      </c>
      <c r="B53" s="5">
        <v>46023</v>
      </c>
      <c r="C53" s="6"/>
      <c r="D53" s="7">
        <v>78</v>
      </c>
      <c r="E53" s="6"/>
      <c r="F53" s="6">
        <f>IF(A53="","",IFERROR(LOOKUP(2,1/(A$4:A52=A53),F$4:F52),0)+IF(ISNUMBER(C53),C53,0)-IF(ISNUMBER(E53),E53,0))</f>
        <v>0</v>
      </c>
      <c r="G53" s="11">
        <f>IF(A53="","",IF(IF(ISNUMBER(C53),C53,0)=0,IFERROR(LOOKUP(2,1/(A$4:A52=A53),G$4:G52),IF(ISNUMBER(D53),D53,"")),IF(IFERROR(LOOKUP(2,1/(A$4:A52=A53),F$4:F52),0)&lt;=0,D53,(MAX(0,IFERROR(LOOKUP(2,1/(A$4:A52=A53),F$4:F52),0))*IFERROR(LOOKUP(2,1/(A$4:A52=A53),G$4:G52),0)+C53*D53)/(MAX(0,IFERROR(LOOKUP(2,1/(A$4:A52=A53),F$4:F52),0))+C53))))</f>
        <v>78</v>
      </c>
      <c r="I53" s="7"/>
    </row>
    <row r="54" spans="1:9" x14ac:dyDescent="0.4">
      <c r="A54" s="4" t="s">
        <v>9</v>
      </c>
      <c r="B54" s="5">
        <v>46054</v>
      </c>
      <c r="C54" s="6"/>
      <c r="D54" s="7">
        <v>78</v>
      </c>
      <c r="E54" s="6"/>
      <c r="F54" s="6">
        <f>IF(A54="","",IFERROR(LOOKUP(2,1/(A$4:A53=A54),F$4:F53),0)+IF(ISNUMBER(C54),C54,0)-IF(ISNUMBER(E54),E54,0))</f>
        <v>0</v>
      </c>
      <c r="G54" s="11">
        <f>IF(A54="","",IF(IF(ISNUMBER(C54),C54,0)=0,IFERROR(LOOKUP(2,1/(A$4:A53=A54),G$4:G53),IF(ISNUMBER(D54),D54,"")),IF(IFERROR(LOOKUP(2,1/(A$4:A53=A54),F$4:F53),0)&lt;=0,D54,(MAX(0,IFERROR(LOOKUP(2,1/(A$4:A53=A54),F$4:F53),0))*IFERROR(LOOKUP(2,1/(A$4:A53=A54),G$4:G53),0)+C54*D54)/(MAX(0,IFERROR(LOOKUP(2,1/(A$4:A53=A54),F$4:F53),0))+C54))))</f>
        <v>78</v>
      </c>
      <c r="I54" s="7"/>
    </row>
    <row r="55" spans="1:9" x14ac:dyDescent="0.4">
      <c r="A55" s="4" t="s">
        <v>9</v>
      </c>
      <c r="B55" s="5">
        <v>46054</v>
      </c>
      <c r="C55" s="6"/>
      <c r="D55" s="7"/>
      <c r="E55" s="6"/>
      <c r="F55" s="6">
        <f>IF(A55="","",IFERROR(LOOKUP(2,1/(A$4:A54=A55),F$4:F54),0)+IF(ISNUMBER(C55),C55,0)-IF(ISNUMBER(E55),E55,0))</f>
        <v>0</v>
      </c>
      <c r="G55" s="11">
        <f>IF(A55="","",IF(IF(ISNUMBER(C55),C55,0)=0,IFERROR(LOOKUP(2,1/(A$4:A54=A55),G$4:G54),IF(ISNUMBER(D55),D55,"")),IF(IFERROR(LOOKUP(2,1/(A$4:A54=A55),F$4:F54),0)&lt;=0,D55,(MAX(0,IFERROR(LOOKUP(2,1/(A$4:A54=A55),F$4:F54),0))*IFERROR(LOOKUP(2,1/(A$4:A54=A55),G$4:G54),0)+C55*D55)/(MAX(0,IFERROR(LOOKUP(2,1/(A$4:A54=A55),F$4:F54),0))+C55))))</f>
        <v>78</v>
      </c>
      <c r="I55" s="7"/>
    </row>
    <row r="56" spans="1:9" x14ac:dyDescent="0.4">
      <c r="A56" s="4" t="s">
        <v>9</v>
      </c>
      <c r="B56" s="5">
        <v>46082</v>
      </c>
      <c r="C56" s="6">
        <v>70</v>
      </c>
      <c r="D56" s="7">
        <v>89.9</v>
      </c>
      <c r="E56" s="6"/>
      <c r="F56" s="6">
        <f>IF(A56="","",IFERROR(LOOKUP(2,1/(A$4:A55=A56),F$4:F55),0)+IF(ISNUMBER(C56),C56,0)-IF(ISNUMBER(E56),E56,0))</f>
        <v>70</v>
      </c>
      <c r="G56" s="11">
        <f>IF(A56="","",IF(IF(ISNUMBER(C56),C56,0)=0,IFERROR(LOOKUP(2,1/(A$4:A55=A56),G$4:G55),IF(ISNUMBER(D56),D56,"")),IF(IFERROR(LOOKUP(2,1/(A$4:A55=A56),F$4:F55),0)&lt;=0,D56,(MAX(0,IFERROR(LOOKUP(2,1/(A$4:A55=A56),F$4:F55),0))*IFERROR(LOOKUP(2,1/(A$4:A55=A56),G$4:G55),0)+C56*D56)/(MAX(0,IFERROR(LOOKUP(2,1/(A$4:A55=A56),F$4:F55),0))+C56))))</f>
        <v>89.9</v>
      </c>
      <c r="I56" s="7"/>
    </row>
    <row r="57" spans="1:9" x14ac:dyDescent="0.4">
      <c r="A57" s="4" t="s">
        <v>9</v>
      </c>
      <c r="B57" s="5">
        <v>46113</v>
      </c>
      <c r="C57" s="6">
        <v>230</v>
      </c>
      <c r="D57" s="7">
        <v>98.5</v>
      </c>
      <c r="E57" s="6">
        <v>80</v>
      </c>
      <c r="F57" s="6">
        <f>IF(A57="","",IFERROR(LOOKUP(2,1/(A$4:A56=A57),F$4:F56),0)+IF(ISNUMBER(C57),C57,0)-IF(ISNUMBER(E57),E57,0))</f>
        <v>220</v>
      </c>
      <c r="G57" s="11">
        <f>IF(A57="","",IF(IF(ISNUMBER(C57),C57,0)=0,IFERROR(LOOKUP(2,1/(A$4:A56=A57),G$4:G56),IF(ISNUMBER(D57),D57,"")),IF(IFERROR(LOOKUP(2,1/(A$4:A56=A57),F$4:F56),0)&lt;=0,D57,(MAX(0,IFERROR(LOOKUP(2,1/(A$4:A56=A57),F$4:F56),0))*IFERROR(LOOKUP(2,1/(A$4:A56=A57),G$4:G56),0)+C57*D57)/(MAX(0,IFERROR(LOOKUP(2,1/(A$4:A56=A57),F$4:F56),0))+C57))))</f>
        <v>96.493333333333339</v>
      </c>
      <c r="I57" s="7"/>
    </row>
    <row r="58" spans="1:9" x14ac:dyDescent="0.4">
      <c r="A58" s="4" t="s">
        <v>9</v>
      </c>
      <c r="B58" s="5">
        <v>46113</v>
      </c>
      <c r="C58" s="6"/>
      <c r="D58" s="7">
        <v>89.9</v>
      </c>
      <c r="E58" s="6">
        <v>70</v>
      </c>
      <c r="F58" s="6">
        <f>IF(A58="","",IFERROR(LOOKUP(2,1/(A$4:A57=A58),F$4:F57),0)+IF(ISNUMBER(C58),C58,0)-IF(ISNUMBER(E58),E58,0))</f>
        <v>150</v>
      </c>
      <c r="G58" s="11">
        <f>IF(A58="","",IF(IF(ISNUMBER(C58),C58,0)=0,IFERROR(LOOKUP(2,1/(A$4:A57=A58),G$4:G57),IF(ISNUMBER(D58),D58,"")),IF(IFERROR(LOOKUP(2,1/(A$4:A57=A58),F$4:F57),0)&lt;=0,D58,(MAX(0,IFERROR(LOOKUP(2,1/(A$4:A57=A58),F$4:F57),0))*IFERROR(LOOKUP(2,1/(A$4:A57=A58),G$4:G57),0)+C58*D58)/(MAX(0,IFERROR(LOOKUP(2,1/(A$4:A57=A58),F$4:F57),0))+C58))))</f>
        <v>96.493333333333339</v>
      </c>
      <c r="I58" s="7"/>
    </row>
    <row r="59" spans="1:9" x14ac:dyDescent="0.4">
      <c r="A59" s="4" t="s">
        <v>9</v>
      </c>
      <c r="B59" s="5">
        <v>46143</v>
      </c>
      <c r="C59" s="6"/>
      <c r="D59" s="7">
        <v>96.49</v>
      </c>
      <c r="E59" s="6"/>
      <c r="F59" s="6">
        <f>IF(A59="","",IFERROR(LOOKUP(2,1/(A$4:A58=A59),F$4:F58),0)+IF(ISNUMBER(C59),C59,0)-IF(ISNUMBER(E59),E59,0))</f>
        <v>150</v>
      </c>
      <c r="G59" s="11">
        <f>IF(A59="","",IF(IF(ISNUMBER(C59),C59,0)=0,IFERROR(LOOKUP(2,1/(A$4:A58=A59),G$4:G58),IF(ISNUMBER(D59),D59,"")),IF(IFERROR(LOOKUP(2,1/(A$4:A58=A59),F$4:F58),0)&lt;=0,D59,(MAX(0,IFERROR(LOOKUP(2,1/(A$4:A58=A59),F$4:F58),0))*IFERROR(LOOKUP(2,1/(A$4:A58=A59),G$4:G58),0)+C59*D59)/(MAX(0,IFERROR(LOOKUP(2,1/(A$4:A58=A59),F$4:F58),0))+C59))))</f>
        <v>96.493333333333339</v>
      </c>
      <c r="I59" s="7"/>
    </row>
    <row r="60" spans="1:9" x14ac:dyDescent="0.4">
      <c r="A60" s="4" t="s">
        <v>9</v>
      </c>
      <c r="B60" s="5">
        <v>46174</v>
      </c>
      <c r="C60" s="6"/>
      <c r="D60" s="7">
        <v>96.49</v>
      </c>
      <c r="E60" s="6">
        <v>61</v>
      </c>
      <c r="F60" s="6">
        <f>IF(A60="","",IFERROR(LOOKUP(2,1/(A$4:A59=A60),F$4:F59),0)+IF(ISNUMBER(C60),C60,0)-IF(ISNUMBER(E60),E60,0))</f>
        <v>89</v>
      </c>
      <c r="G60" s="11">
        <f>IF(A60="","",IF(IF(ISNUMBER(C60),C60,0)=0,IFERROR(LOOKUP(2,1/(A$4:A59=A60),G$4:G59),IF(ISNUMBER(D60),D60,"")),IF(IFERROR(LOOKUP(2,1/(A$4:A59=A60),F$4:F59),0)&lt;=0,D60,(MAX(0,IFERROR(LOOKUP(2,1/(A$4:A59=A60),F$4:F59),0))*IFERROR(LOOKUP(2,1/(A$4:A59=A60),G$4:G59),0)+C60*D60)/(MAX(0,IFERROR(LOOKUP(2,1/(A$4:A59=A60),F$4:F59),0))+C60))))</f>
        <v>96.493333333333339</v>
      </c>
      <c r="I60" s="7"/>
    </row>
    <row r="61" spans="1:9" x14ac:dyDescent="0.4">
      <c r="A61" s="4" t="s">
        <v>9</v>
      </c>
      <c r="B61" s="5">
        <v>46204</v>
      </c>
      <c r="C61" s="6"/>
      <c r="D61" s="7">
        <v>96.49</v>
      </c>
      <c r="E61" s="6">
        <v>85</v>
      </c>
      <c r="F61" s="6">
        <f>IF(A61="","",IFERROR(LOOKUP(2,1/(A$4:A60=A61),F$4:F60),0)+IF(ISNUMBER(C61),C61,0)-IF(ISNUMBER(E61),E61,0))</f>
        <v>4</v>
      </c>
      <c r="G61" s="11">
        <f>IF(A61="","",IF(IF(ISNUMBER(C61),C61,0)=0,IFERROR(LOOKUP(2,1/(A$4:A60=A61),G$4:G60),IF(ISNUMBER(D61),D61,"")),IF(IFERROR(LOOKUP(2,1/(A$4:A60=A61),F$4:F60),0)&lt;=0,D61,(MAX(0,IFERROR(LOOKUP(2,1/(A$4:A60=A61),F$4:F60),0))*IFERROR(LOOKUP(2,1/(A$4:A60=A61),G$4:G60),0)+C61*D61)/(MAX(0,IFERROR(LOOKUP(2,1/(A$4:A60=A61),F$4:F60),0))+C61))))</f>
        <v>96.493333333333339</v>
      </c>
      <c r="I61" s="7"/>
    </row>
    <row r="62" spans="1:9" x14ac:dyDescent="0.4">
      <c r="A62" s="4" t="s">
        <v>9</v>
      </c>
      <c r="B62" s="5">
        <v>46235</v>
      </c>
      <c r="C62" s="6">
        <v>300</v>
      </c>
      <c r="D62" s="7">
        <v>106.8</v>
      </c>
      <c r="E62" s="6">
        <v>26</v>
      </c>
      <c r="F62" s="6">
        <f>IF(A62="","",IFERROR(LOOKUP(2,1/(A$4:A61=A62),F$4:F61),0)+IF(ISNUMBER(C62),C62,0)-IF(ISNUMBER(E62),E62,0))</f>
        <v>278</v>
      </c>
      <c r="G62" s="11">
        <f>IF(A62="","",IF(IF(ISNUMBER(C62),C62,0)=0,IFERROR(LOOKUP(2,1/(A$4:A61=A62),G$4:G61),IF(ISNUMBER(D62),D62,"")),IF(IFERROR(LOOKUP(2,1/(A$4:A61=A62),F$4:F61),0)&lt;=0,D62,(MAX(0,IFERROR(LOOKUP(2,1/(A$4:A61=A62),F$4:F61),0))*IFERROR(LOOKUP(2,1/(A$4:A61=A62),G$4:G61),0)+C62*D62)/(MAX(0,IFERROR(LOOKUP(2,1/(A$4:A61=A62),F$4:F61),0))+C62))))</f>
        <v>106.66438596491228</v>
      </c>
      <c r="I62" s="7"/>
    </row>
    <row r="63" spans="1:9" x14ac:dyDescent="0.4">
      <c r="A63" s="4" t="s">
        <v>9</v>
      </c>
      <c r="B63" s="5">
        <v>46235</v>
      </c>
      <c r="C63" s="6"/>
      <c r="D63" s="7">
        <v>96.49</v>
      </c>
      <c r="E63" s="6">
        <v>4</v>
      </c>
      <c r="F63" s="6">
        <f>IF(A63="","",IFERROR(LOOKUP(2,1/(A$4:A62=A63),F$4:F62),0)+IF(ISNUMBER(C63),C63,0)-IF(ISNUMBER(E63),E63,0))</f>
        <v>274</v>
      </c>
      <c r="G63" s="11">
        <f>IF(A63="","",IF(IF(ISNUMBER(C63),C63,0)=0,IFERROR(LOOKUP(2,1/(A$4:A62=A63),G$4:G62),IF(ISNUMBER(D63),D63,"")),IF(IFERROR(LOOKUP(2,1/(A$4:A62=A63),F$4:F62),0)&lt;=0,D63,(MAX(0,IFERROR(LOOKUP(2,1/(A$4:A62=A63),F$4:F62),0))*IFERROR(LOOKUP(2,1/(A$4:A62=A63),G$4:G62),0)+C63*D63)/(MAX(0,IFERROR(LOOKUP(2,1/(A$4:A62=A63),F$4:F62),0))+C63))))</f>
        <v>106.66438596491228</v>
      </c>
      <c r="I63" s="7"/>
    </row>
    <row r="64" spans="1:9" x14ac:dyDescent="0.4">
      <c r="A64" s="4" t="s">
        <v>9</v>
      </c>
      <c r="B64" s="5">
        <v>46266</v>
      </c>
      <c r="C64" s="6"/>
      <c r="D64" s="7">
        <v>106.66</v>
      </c>
      <c r="E64" s="6">
        <v>30</v>
      </c>
      <c r="F64" s="6">
        <f>IF(A64="","",IFERROR(LOOKUP(2,1/(A$4:A63=A64),F$4:F63),0)+IF(ISNUMBER(C64),C64,0)-IF(ISNUMBER(E64),E64,0))</f>
        <v>244</v>
      </c>
      <c r="G64" s="11">
        <f>IF(A64="","",IF(IF(ISNUMBER(C64),C64,0)=0,IFERROR(LOOKUP(2,1/(A$4:A63=A64),G$4:G63),IF(ISNUMBER(D64),D64,"")),IF(IFERROR(LOOKUP(2,1/(A$4:A63=A64),F$4:F63),0)&lt;=0,D64,(MAX(0,IFERROR(LOOKUP(2,1/(A$4:A63=A64),F$4:F63),0))*IFERROR(LOOKUP(2,1/(A$4:A63=A64),G$4:G63),0)+C64*D64)/(MAX(0,IFERROR(LOOKUP(2,1/(A$4:A63=A64),F$4:F63),0))+C64))))</f>
        <v>106.66438596491228</v>
      </c>
      <c r="I64" s="7"/>
    </row>
    <row r="65" spans="1:9" x14ac:dyDescent="0.4">
      <c r="A65" s="4" t="s">
        <v>9</v>
      </c>
      <c r="B65" s="5">
        <v>46266</v>
      </c>
      <c r="C65" s="6">
        <v>200</v>
      </c>
      <c r="D65" s="7">
        <v>104.8</v>
      </c>
      <c r="E65" s="6"/>
      <c r="F65" s="6">
        <f>IF(A65="","",IFERROR(LOOKUP(2,1/(A$4:A64=A65),F$4:F64),0)+IF(ISNUMBER(C65),C65,0)-IF(ISNUMBER(E65),E65,0))</f>
        <v>444</v>
      </c>
      <c r="G65" s="11">
        <f>IF(A65="","",IF(IF(ISNUMBER(C65),C65,0)=0,IFERROR(LOOKUP(2,1/(A$4:A64=A65),G$4:G64),IF(ISNUMBER(D65),D65,"")),IF(IFERROR(LOOKUP(2,1/(A$4:A64=A65),F$4:F64),0)&lt;=0,D65,(MAX(0,IFERROR(LOOKUP(2,1/(A$4:A64=A65),F$4:F64),0))*IFERROR(LOOKUP(2,1/(A$4:A64=A65),G$4:G64),0)+C65*D65)/(MAX(0,IFERROR(LOOKUP(2,1/(A$4:A64=A65),F$4:F64),0))+C65))))</f>
        <v>105.82457246720405</v>
      </c>
      <c r="I65" s="7"/>
    </row>
    <row r="66" spans="1:9" x14ac:dyDescent="0.4">
      <c r="A66" s="4" t="s">
        <v>9</v>
      </c>
      <c r="B66" s="5">
        <v>46296</v>
      </c>
      <c r="C66" s="6"/>
      <c r="D66" s="7">
        <v>105.88</v>
      </c>
      <c r="E66" s="6">
        <v>25</v>
      </c>
      <c r="F66" s="6">
        <f>IF(A66="","",IFERROR(LOOKUP(2,1/(A$4:A65=A66),F$4:F65),0)+IF(ISNUMBER(C66),C66,0)-IF(ISNUMBER(E66),E66,0))</f>
        <v>419</v>
      </c>
      <c r="G66" s="11">
        <f>IF(A66="","",IF(IF(ISNUMBER(C66),C66,0)=0,IFERROR(LOOKUP(2,1/(A$4:A65=A66),G$4:G65),IF(ISNUMBER(D66),D66,"")),IF(IFERROR(LOOKUP(2,1/(A$4:A65=A66),F$4:F65),0)&lt;=0,D66,(MAX(0,IFERROR(LOOKUP(2,1/(A$4:A65=A66),F$4:F65),0))*IFERROR(LOOKUP(2,1/(A$4:A65=A66),G$4:G65),0)+C66*D66)/(MAX(0,IFERROR(LOOKUP(2,1/(A$4:A65=A66),F$4:F65),0))+C66))))</f>
        <v>105.82457246720405</v>
      </c>
      <c r="I66" s="7"/>
    </row>
    <row r="67" spans="1:9" x14ac:dyDescent="0.4">
      <c r="A67" s="4" t="s">
        <v>3</v>
      </c>
      <c r="B67" s="5">
        <v>45931</v>
      </c>
      <c r="C67" s="6">
        <v>800</v>
      </c>
      <c r="D67" s="7">
        <v>75.900000000000006</v>
      </c>
      <c r="E67" s="6">
        <v>650</v>
      </c>
      <c r="F67" s="6">
        <f>IF(A67="","",IFERROR(LOOKUP(2,1/(A$4:A66=A67),F$4:F66),0)+IF(ISNUMBER(C67),C67,0)-IF(ISNUMBER(E67),E67,0))</f>
        <v>150</v>
      </c>
      <c r="G67" s="11">
        <f>IF(A67="","",IF(IF(ISNUMBER(C67),C67,0)=0,IFERROR(LOOKUP(2,1/(A$4:A66=A67),G$4:G66),IF(ISNUMBER(D67),D67,"")),IF(IFERROR(LOOKUP(2,1/(A$4:A66=A67),F$4:F66),0)&lt;=0,D67,(MAX(0,IFERROR(LOOKUP(2,1/(A$4:A66=A67),F$4:F66),0))*IFERROR(LOOKUP(2,1/(A$4:A66=A67),G$4:G66),0)+C67*D67)/(MAX(0,IFERROR(LOOKUP(2,1/(A$4:A66=A67),F$4:F66),0))+C67))))</f>
        <v>75.900000000000006</v>
      </c>
      <c r="I67" s="7"/>
    </row>
    <row r="68" spans="1:9" x14ac:dyDescent="0.4">
      <c r="A68" s="4" t="s">
        <v>3</v>
      </c>
      <c r="B68" s="5">
        <v>45962</v>
      </c>
      <c r="C68" s="6">
        <v>700</v>
      </c>
      <c r="D68" s="7">
        <v>84.9</v>
      </c>
      <c r="E68" s="6">
        <v>520</v>
      </c>
      <c r="F68" s="6">
        <f>IF(A68="","",IFERROR(LOOKUP(2,1/(A$4:A67=A68),F$4:F67),0)+IF(ISNUMBER(C68),C68,0)-IF(ISNUMBER(E68),E68,0))</f>
        <v>330</v>
      </c>
      <c r="G68" s="11">
        <f>IF(A68="","",IF(IF(ISNUMBER(C68),C68,0)=0,IFERROR(LOOKUP(2,1/(A$4:A67=A68),G$4:G67),IF(ISNUMBER(D68),D68,"")),IF(IFERROR(LOOKUP(2,1/(A$4:A67=A68),F$4:F67),0)&lt;=0,D68,(MAX(0,IFERROR(LOOKUP(2,1/(A$4:A67=A68),F$4:F67),0))*IFERROR(LOOKUP(2,1/(A$4:A67=A68),G$4:G67),0)+C68*D68)/(MAX(0,IFERROR(LOOKUP(2,1/(A$4:A67=A68),F$4:F67),0))+C68))))</f>
        <v>83.311764705882354</v>
      </c>
      <c r="I68" s="7"/>
    </row>
    <row r="69" spans="1:9" x14ac:dyDescent="0.4">
      <c r="A69" s="4" t="s">
        <v>3</v>
      </c>
      <c r="B69" s="5">
        <v>45962</v>
      </c>
      <c r="C69" s="6"/>
      <c r="D69" s="7">
        <v>75.900000000000006</v>
      </c>
      <c r="E69" s="6">
        <v>150</v>
      </c>
      <c r="F69" s="6">
        <f>IF(A69="","",IFERROR(LOOKUP(2,1/(A$4:A68=A69),F$4:F68),0)+IF(ISNUMBER(C69),C69,0)-IF(ISNUMBER(E69),E69,0))</f>
        <v>180</v>
      </c>
      <c r="G69" s="11">
        <f>IF(A69="","",IF(IF(ISNUMBER(C69),C69,0)=0,IFERROR(LOOKUP(2,1/(A$4:A68=A69),G$4:G68),IF(ISNUMBER(D69),D69,"")),IF(IFERROR(LOOKUP(2,1/(A$4:A68=A69),F$4:F68),0)&lt;=0,D69,(MAX(0,IFERROR(LOOKUP(2,1/(A$4:A68=A69),F$4:F68),0))*IFERROR(LOOKUP(2,1/(A$4:A68=A69),G$4:G68),0)+C69*D69)/(MAX(0,IFERROR(LOOKUP(2,1/(A$4:A68=A69),F$4:F68),0))+C69))))</f>
        <v>83.311764705882354</v>
      </c>
      <c r="I69" s="7"/>
    </row>
    <row r="70" spans="1:9" x14ac:dyDescent="0.4">
      <c r="A70" s="4" t="s">
        <v>3</v>
      </c>
      <c r="B70" s="5">
        <v>45992</v>
      </c>
      <c r="C70" s="6">
        <v>150</v>
      </c>
      <c r="D70" s="7">
        <v>93.9</v>
      </c>
      <c r="E70" s="6">
        <v>150</v>
      </c>
      <c r="F70" s="6">
        <f>IF(A70="","",IFERROR(LOOKUP(2,1/(A$4:A69=A70),F$4:F69),0)+IF(ISNUMBER(C70),C70,0)-IF(ISNUMBER(E70),E70,0))</f>
        <v>180</v>
      </c>
      <c r="G70" s="11">
        <f>IF(A70="","",IF(IF(ISNUMBER(C70),C70,0)=0,IFERROR(LOOKUP(2,1/(A$4:A69=A70),G$4:G69),IF(ISNUMBER(D70),D70,"")),IF(IFERROR(LOOKUP(2,1/(A$4:A69=A70),F$4:F69),0)&lt;=0,D70,(MAX(0,IFERROR(LOOKUP(2,1/(A$4:A69=A70),F$4:F69),0))*IFERROR(LOOKUP(2,1/(A$4:A69=A70),G$4:G69),0)+C70*D70)/(MAX(0,IFERROR(LOOKUP(2,1/(A$4:A69=A70),F$4:F69),0))+C70))))</f>
        <v>88.124598930481284</v>
      </c>
      <c r="I70" s="7"/>
    </row>
    <row r="71" spans="1:9" x14ac:dyDescent="0.4">
      <c r="A71" s="4" t="s">
        <v>3</v>
      </c>
      <c r="B71" s="5">
        <v>45992</v>
      </c>
      <c r="C71" s="6">
        <v>500</v>
      </c>
      <c r="D71" s="7">
        <v>94.9</v>
      </c>
      <c r="E71" s="6">
        <v>491</v>
      </c>
      <c r="F71" s="6">
        <f>IF(A71="","",IFERROR(LOOKUP(2,1/(A$4:A70=A71),F$4:F70),0)+IF(ISNUMBER(C71),C71,0)-IF(ISNUMBER(E71),E71,0))</f>
        <v>189</v>
      </c>
      <c r="G71" s="11">
        <f>IF(A71="","",IF(IF(ISNUMBER(C71),C71,0)=0,IFERROR(LOOKUP(2,1/(A$4:A70=A71),G$4:G70),IF(ISNUMBER(D71),D71,"")),IF(IFERROR(LOOKUP(2,1/(A$4:A70=A71),F$4:F70),0)&lt;=0,D71,(MAX(0,IFERROR(LOOKUP(2,1/(A$4:A70=A71),F$4:F70),0))*IFERROR(LOOKUP(2,1/(A$4:A70=A71),G$4:G70),0)+C71*D71)/(MAX(0,IFERROR(LOOKUP(2,1/(A$4:A70=A71),F$4:F70),0))+C71))))</f>
        <v>93.106511481597991</v>
      </c>
      <c r="I71" s="7"/>
    </row>
    <row r="72" spans="1:9" x14ac:dyDescent="0.4">
      <c r="A72" s="4" t="s">
        <v>3</v>
      </c>
      <c r="B72" s="5">
        <v>45992</v>
      </c>
      <c r="C72" s="6"/>
      <c r="D72" s="7">
        <v>83.31</v>
      </c>
      <c r="E72" s="6">
        <v>180</v>
      </c>
      <c r="F72" s="6">
        <f>IF(A72="","",IFERROR(LOOKUP(2,1/(A$4:A71=A72),F$4:F71),0)+IF(ISNUMBER(C72),C72,0)-IF(ISNUMBER(E72),E72,0))</f>
        <v>9</v>
      </c>
      <c r="G72" s="11">
        <f>IF(A72="","",IF(IF(ISNUMBER(C72),C72,0)=0,IFERROR(LOOKUP(2,1/(A$4:A71=A72),G$4:G71),IF(ISNUMBER(D72),D72,"")),IF(IFERROR(LOOKUP(2,1/(A$4:A71=A72),F$4:F71),0)&lt;=0,D72,(MAX(0,IFERROR(LOOKUP(2,1/(A$4:A71=A72),F$4:F71),0))*IFERROR(LOOKUP(2,1/(A$4:A71=A72),G$4:G71),0)+C72*D72)/(MAX(0,IFERROR(LOOKUP(2,1/(A$4:A71=A72),F$4:F71),0))+C72))))</f>
        <v>93.106511481597991</v>
      </c>
      <c r="I72" s="7"/>
    </row>
    <row r="73" spans="1:9" x14ac:dyDescent="0.4">
      <c r="A73" s="4" t="s">
        <v>3</v>
      </c>
      <c r="B73" s="5">
        <v>46023</v>
      </c>
      <c r="C73" s="6">
        <v>1350</v>
      </c>
      <c r="D73" s="7">
        <v>92.9</v>
      </c>
      <c r="E73" s="6">
        <v>910</v>
      </c>
      <c r="F73" s="6">
        <f>IF(A73="","",IFERROR(LOOKUP(2,1/(A$4:A72=A73),F$4:F72),0)+IF(ISNUMBER(C73),C73,0)-IF(ISNUMBER(E73),E73,0))</f>
        <v>449</v>
      </c>
      <c r="G73" s="11">
        <f>IF(A73="","",IF(IF(ISNUMBER(C73),C73,0)=0,IFERROR(LOOKUP(2,1/(A$4:A72=A73),G$4:G72),IF(ISNUMBER(D73),D73,"")),IF(IFERROR(LOOKUP(2,1/(A$4:A72=A73),F$4:F72),0)&lt;=0,D73,(MAX(0,IFERROR(LOOKUP(2,1/(A$4:A72=A73),F$4:F72),0))*IFERROR(LOOKUP(2,1/(A$4:A72=A73),G$4:G72),0)+C73*D73)/(MAX(0,IFERROR(LOOKUP(2,1/(A$4:A72=A73),F$4:F72),0))+C73))))</f>
        <v>92.901367625705959</v>
      </c>
      <c r="I73" s="7"/>
    </row>
    <row r="74" spans="1:9" x14ac:dyDescent="0.4">
      <c r="A74" s="4" t="s">
        <v>3</v>
      </c>
      <c r="B74" s="5">
        <v>46023</v>
      </c>
      <c r="C74" s="6"/>
      <c r="D74" s="7">
        <v>92.21</v>
      </c>
      <c r="E74" s="6">
        <v>9</v>
      </c>
      <c r="F74" s="6">
        <f>IF(A74="","",IFERROR(LOOKUP(2,1/(A$4:A73=A74),F$4:F73),0)+IF(ISNUMBER(C74),C74,0)-IF(ISNUMBER(E74),E74,0))</f>
        <v>440</v>
      </c>
      <c r="G74" s="11">
        <f>IF(A74="","",IF(IF(ISNUMBER(C74),C74,0)=0,IFERROR(LOOKUP(2,1/(A$4:A73=A74),G$4:G73),IF(ISNUMBER(D74),D74,"")),IF(IFERROR(LOOKUP(2,1/(A$4:A73=A74),F$4:F73),0)&lt;=0,D74,(MAX(0,IFERROR(LOOKUP(2,1/(A$4:A73=A74),F$4:F73),0))*IFERROR(LOOKUP(2,1/(A$4:A73=A74),G$4:G73),0)+C74*D74)/(MAX(0,IFERROR(LOOKUP(2,1/(A$4:A73=A74),F$4:F73),0))+C74))))</f>
        <v>92.901367625705959</v>
      </c>
      <c r="I74" s="7"/>
    </row>
    <row r="75" spans="1:9" x14ac:dyDescent="0.4">
      <c r="A75" s="4" t="s">
        <v>3</v>
      </c>
      <c r="B75" s="5">
        <v>46054</v>
      </c>
      <c r="C75" s="6">
        <v>1200</v>
      </c>
      <c r="D75" s="7">
        <v>92.9</v>
      </c>
      <c r="E75" s="6">
        <v>478</v>
      </c>
      <c r="F75" s="6">
        <f>IF(A75="","",IFERROR(LOOKUP(2,1/(A$4:A74=A75),F$4:F74),0)+IF(ISNUMBER(C75),C75,0)-IF(ISNUMBER(E75),E75,0))</f>
        <v>1162</v>
      </c>
      <c r="G75" s="11">
        <f>IF(A75="","",IF(IF(ISNUMBER(C75),C75,0)=0,IFERROR(LOOKUP(2,1/(A$4:A74=A75),G$4:G74),IF(ISNUMBER(D75),D75,"")),IF(IFERROR(LOOKUP(2,1/(A$4:A74=A75),F$4:F74),0)&lt;=0,D75,(MAX(0,IFERROR(LOOKUP(2,1/(A$4:A74=A75),F$4:F74),0))*IFERROR(LOOKUP(2,1/(A$4:A74=A75),G$4:G74),0)+C75*D75)/(MAX(0,IFERROR(LOOKUP(2,1/(A$4:A74=A75),F$4:F74),0))+C75))))</f>
        <v>92.900366923969884</v>
      </c>
      <c r="I75" s="7"/>
    </row>
    <row r="76" spans="1:9" x14ac:dyDescent="0.4">
      <c r="A76" s="4" t="s">
        <v>3</v>
      </c>
      <c r="B76" s="5">
        <v>46054</v>
      </c>
      <c r="C76" s="6"/>
      <c r="D76" s="7">
        <v>92.9</v>
      </c>
      <c r="E76" s="6">
        <v>440</v>
      </c>
      <c r="F76" s="6">
        <f>IF(A76="","",IFERROR(LOOKUP(2,1/(A$4:A75=A76),F$4:F75),0)+IF(ISNUMBER(C76),C76,0)-IF(ISNUMBER(E76),E76,0))</f>
        <v>722</v>
      </c>
      <c r="G76" s="11">
        <f>IF(A76="","",IF(IF(ISNUMBER(C76),C76,0)=0,IFERROR(LOOKUP(2,1/(A$4:A75=A76),G$4:G75),IF(ISNUMBER(D76),D76,"")),IF(IFERROR(LOOKUP(2,1/(A$4:A75=A76),F$4:F75),0)&lt;=0,D76,(MAX(0,IFERROR(LOOKUP(2,1/(A$4:A75=A76),F$4:F75),0))*IFERROR(LOOKUP(2,1/(A$4:A75=A76),G$4:G75),0)+C76*D76)/(MAX(0,IFERROR(LOOKUP(2,1/(A$4:A75=A76),F$4:F75),0))+C76))))</f>
        <v>92.900366923969884</v>
      </c>
      <c r="I76" s="7"/>
    </row>
    <row r="77" spans="1:9" x14ac:dyDescent="0.4">
      <c r="A77" s="4" t="s">
        <v>3</v>
      </c>
      <c r="B77" s="5">
        <v>46082</v>
      </c>
      <c r="C77" s="6">
        <v>1000</v>
      </c>
      <c r="D77" s="7">
        <v>108.9</v>
      </c>
      <c r="E77" s="6">
        <v>330</v>
      </c>
      <c r="F77" s="6">
        <f>IF(A77="","",IFERROR(LOOKUP(2,1/(A$4:A76=A77),F$4:F76),0)+IF(ISNUMBER(C77),C77,0)-IF(ISNUMBER(E77),E77,0))</f>
        <v>1392</v>
      </c>
      <c r="G77" s="11">
        <f>IF(A77="","",IF(IF(ISNUMBER(C77),C77,0)=0,IFERROR(LOOKUP(2,1/(A$4:A76=A77),G$4:G76),IF(ISNUMBER(D77),D77,"")),IF(IFERROR(LOOKUP(2,1/(A$4:A76=A77),F$4:F76),0)&lt;=0,D77,(MAX(0,IFERROR(LOOKUP(2,1/(A$4:A76=A77),F$4:F76),0))*IFERROR(LOOKUP(2,1/(A$4:A76=A77),G$4:G76),0)+C77*D77)/(MAX(0,IFERROR(LOOKUP(2,1/(A$4:A76=A77),F$4:F76),0))+C77))))</f>
        <v>102.19167533049144</v>
      </c>
      <c r="I77" s="7"/>
    </row>
    <row r="78" spans="1:9" x14ac:dyDescent="0.4">
      <c r="A78" s="4" t="s">
        <v>3</v>
      </c>
      <c r="B78" s="5">
        <v>46082</v>
      </c>
      <c r="C78" s="6"/>
      <c r="D78" s="7">
        <v>92.9</v>
      </c>
      <c r="E78" s="6">
        <v>722</v>
      </c>
      <c r="F78" s="6">
        <f>IF(A78="","",IFERROR(LOOKUP(2,1/(A$4:A77=A78),F$4:F77),0)+IF(ISNUMBER(C78),C78,0)-IF(ISNUMBER(E78),E78,0))</f>
        <v>670</v>
      </c>
      <c r="G78" s="11">
        <f>IF(A78="","",IF(IF(ISNUMBER(C78),C78,0)=0,IFERROR(LOOKUP(2,1/(A$4:A77=A78),G$4:G77),IF(ISNUMBER(D78),D78,"")),IF(IFERROR(LOOKUP(2,1/(A$4:A77=A78),F$4:F77),0)&lt;=0,D78,(MAX(0,IFERROR(LOOKUP(2,1/(A$4:A77=A78),F$4:F77),0))*IFERROR(LOOKUP(2,1/(A$4:A77=A78),G$4:G77),0)+C78*D78)/(MAX(0,IFERROR(LOOKUP(2,1/(A$4:A77=A78),F$4:F77),0))+C78))))</f>
        <v>102.19167533049144</v>
      </c>
      <c r="I78" s="7"/>
    </row>
    <row r="79" spans="1:9" x14ac:dyDescent="0.4">
      <c r="A79" s="4" t="s">
        <v>3</v>
      </c>
      <c r="B79" s="5">
        <v>46113</v>
      </c>
      <c r="C79" s="6">
        <v>1000</v>
      </c>
      <c r="D79" s="7">
        <v>108.9</v>
      </c>
      <c r="E79" s="6"/>
      <c r="F79" s="6">
        <f>IF(A79="","",IFERROR(LOOKUP(2,1/(A$4:A78=A79),F$4:F78),0)+IF(ISNUMBER(C79),C79,0)-IF(ISNUMBER(E79),E79,0))</f>
        <v>1670</v>
      </c>
      <c r="G79" s="11">
        <f>IF(A79="","",IF(IF(ISNUMBER(C79),C79,0)=0,IFERROR(LOOKUP(2,1/(A$4:A78=A79),G$4:G78),IF(ISNUMBER(D79),D79,"")),IF(IFERROR(LOOKUP(2,1/(A$4:A78=A79),F$4:F78),0)&lt;=0,D79,(MAX(0,IFERROR(LOOKUP(2,1/(A$4:A78=A79),F$4:F78),0))*IFERROR(LOOKUP(2,1/(A$4:A78=A79),G$4:G78),0)+C79*D79)/(MAX(0,IFERROR(LOOKUP(2,1/(A$4:A78=A79),F$4:F78),0))+C79))))</f>
        <v>106.20863621043669</v>
      </c>
      <c r="I79" s="7"/>
    </row>
    <row r="80" spans="1:9" x14ac:dyDescent="0.4">
      <c r="A80" s="4" t="s">
        <v>3</v>
      </c>
      <c r="B80" s="5">
        <v>46113</v>
      </c>
      <c r="C80" s="6"/>
      <c r="D80" s="7">
        <v>102.19</v>
      </c>
      <c r="E80" s="6">
        <v>502</v>
      </c>
      <c r="F80" s="6">
        <f>IF(A80="","",IFERROR(LOOKUP(2,1/(A$4:A79=A80),F$4:F79),0)+IF(ISNUMBER(C80),C80,0)-IF(ISNUMBER(E80),E80,0))</f>
        <v>1168</v>
      </c>
      <c r="G80" s="11">
        <f>IF(A80="","",IF(IF(ISNUMBER(C80),C80,0)=0,IFERROR(LOOKUP(2,1/(A$4:A79=A80),G$4:G79),IF(ISNUMBER(D80),D80,"")),IF(IFERROR(LOOKUP(2,1/(A$4:A79=A80),F$4:F79),0)&lt;=0,D80,(MAX(0,IFERROR(LOOKUP(2,1/(A$4:A79=A80),F$4:F79),0))*IFERROR(LOOKUP(2,1/(A$4:A79=A80),G$4:G79),0)+C80*D80)/(MAX(0,IFERROR(LOOKUP(2,1/(A$4:A79=A80),F$4:F79),0))+C80))))</f>
        <v>106.20863621043669</v>
      </c>
      <c r="I80" s="7"/>
    </row>
    <row r="81" spans="1:9" x14ac:dyDescent="0.4">
      <c r="A81" s="4" t="s">
        <v>3</v>
      </c>
      <c r="B81" s="5">
        <v>46143</v>
      </c>
      <c r="C81" s="6"/>
      <c r="D81" s="7">
        <v>106.21</v>
      </c>
      <c r="E81" s="6">
        <v>375</v>
      </c>
      <c r="F81" s="6">
        <f>IF(A81="","",IFERROR(LOOKUP(2,1/(A$4:A80=A81),F$4:F80),0)+IF(ISNUMBER(C81),C81,0)-IF(ISNUMBER(E81),E81,0))</f>
        <v>793</v>
      </c>
      <c r="G81" s="11">
        <f>IF(A81="","",IF(IF(ISNUMBER(C81),C81,0)=0,IFERROR(LOOKUP(2,1/(A$4:A80=A81),G$4:G80),IF(ISNUMBER(D81),D81,"")),IF(IFERROR(LOOKUP(2,1/(A$4:A80=A81),F$4:F80),0)&lt;=0,D81,(MAX(0,IFERROR(LOOKUP(2,1/(A$4:A80=A81),F$4:F80),0))*IFERROR(LOOKUP(2,1/(A$4:A80=A81),G$4:G80),0)+C81*D81)/(MAX(0,IFERROR(LOOKUP(2,1/(A$4:A80=A81),F$4:F80),0))+C81))))</f>
        <v>106.20863621043669</v>
      </c>
      <c r="I81" s="7"/>
    </row>
    <row r="82" spans="1:9" x14ac:dyDescent="0.4">
      <c r="A82" s="4" t="s">
        <v>3</v>
      </c>
      <c r="B82" s="5">
        <v>46174</v>
      </c>
      <c r="C82" s="6">
        <v>500</v>
      </c>
      <c r="D82" s="7">
        <v>92.4</v>
      </c>
      <c r="E82" s="6"/>
      <c r="F82" s="6">
        <f>IF(A82="","",IFERROR(LOOKUP(2,1/(A$4:A81=A82),F$4:F81),0)+IF(ISNUMBER(C82),C82,0)-IF(ISNUMBER(E82),E82,0))</f>
        <v>1293</v>
      </c>
      <c r="G82" s="11">
        <f>IF(A82="","",IF(IF(ISNUMBER(C82),C82,0)=0,IFERROR(LOOKUP(2,1/(A$4:A81=A82),G$4:G81),IF(ISNUMBER(D82),D82,"")),IF(IFERROR(LOOKUP(2,1/(A$4:A81=A82),F$4:F81),0)&lt;=0,D82,(MAX(0,IFERROR(LOOKUP(2,1/(A$4:A81=A82),F$4:F81),0))*IFERROR(LOOKUP(2,1/(A$4:A81=A82),G$4:G81),0)+C82*D82)/(MAX(0,IFERROR(LOOKUP(2,1/(A$4:A81=A82),F$4:F81),0))+C82))))</f>
        <v>100.86886969441323</v>
      </c>
      <c r="I82" s="7"/>
    </row>
    <row r="83" spans="1:9" x14ac:dyDescent="0.4">
      <c r="A83" s="4" t="s">
        <v>3</v>
      </c>
      <c r="B83" s="5">
        <v>46174</v>
      </c>
      <c r="C83" s="6"/>
      <c r="D83" s="7">
        <v>92.4</v>
      </c>
      <c r="E83" s="6"/>
      <c r="F83" s="6">
        <f>IF(A83="","",IFERROR(LOOKUP(2,1/(A$4:A82=A83),F$4:F82),0)+IF(ISNUMBER(C83),C83,0)-IF(ISNUMBER(E83),E83,0))</f>
        <v>1293</v>
      </c>
      <c r="G83" s="11">
        <f>IF(A83="","",IF(IF(ISNUMBER(C83),C83,0)=0,IFERROR(LOOKUP(2,1/(A$4:A82=A83),G$4:G82),IF(ISNUMBER(D83),D83,"")),IF(IFERROR(LOOKUP(2,1/(A$4:A82=A83),F$4:F82),0)&lt;=0,D83,(MAX(0,IFERROR(LOOKUP(2,1/(A$4:A82=A83),F$4:F82),0))*IFERROR(LOOKUP(2,1/(A$4:A82=A83),G$4:G82),0)+C83*D83)/(MAX(0,IFERROR(LOOKUP(2,1/(A$4:A82=A83),F$4:F82),0))+C83))))</f>
        <v>100.86886969441323</v>
      </c>
      <c r="I83" s="7"/>
    </row>
    <row r="84" spans="1:9" x14ac:dyDescent="0.4">
      <c r="A84" s="4" t="s">
        <v>3</v>
      </c>
      <c r="B84" s="5">
        <v>46204</v>
      </c>
      <c r="C84" s="6"/>
      <c r="D84" s="7">
        <v>100.87</v>
      </c>
      <c r="E84" s="6">
        <v>560</v>
      </c>
      <c r="F84" s="6">
        <f>IF(A84="","",IFERROR(LOOKUP(2,1/(A$4:A83=A84),F$4:F83),0)+IF(ISNUMBER(C84),C84,0)-IF(ISNUMBER(E84),E84,0))</f>
        <v>733</v>
      </c>
      <c r="G84" s="11">
        <f>IF(A84="","",IF(IF(ISNUMBER(C84),C84,0)=0,IFERROR(LOOKUP(2,1/(A$4:A83=A84),G$4:G83),IF(ISNUMBER(D84),D84,"")),IF(IFERROR(LOOKUP(2,1/(A$4:A83=A84),F$4:F83),0)&lt;=0,D84,(MAX(0,IFERROR(LOOKUP(2,1/(A$4:A83=A84),F$4:F83),0))*IFERROR(LOOKUP(2,1/(A$4:A83=A84),G$4:G83),0)+C84*D84)/(MAX(0,IFERROR(LOOKUP(2,1/(A$4:A83=A84),F$4:F83),0))+C84))))</f>
        <v>100.86886969441323</v>
      </c>
      <c r="I84" s="7"/>
    </row>
    <row r="85" spans="1:9" x14ac:dyDescent="0.4">
      <c r="A85" s="4" t="s">
        <v>3</v>
      </c>
      <c r="B85" s="5">
        <v>46235</v>
      </c>
      <c r="C85" s="6">
        <v>1056</v>
      </c>
      <c r="D85" s="7">
        <v>116.4</v>
      </c>
      <c r="E85" s="6"/>
      <c r="F85" s="6">
        <f>IF(A85="","",IFERROR(LOOKUP(2,1/(A$4:A84=A85),F$4:F84),0)+IF(ISNUMBER(C85),C85,0)-IF(ISNUMBER(E85),E85,0))</f>
        <v>1789</v>
      </c>
      <c r="G85" s="11">
        <f>IF(A85="","",IF(IF(ISNUMBER(C85),C85,0)=0,IFERROR(LOOKUP(2,1/(A$4:A84=A85),G$4:G84),IF(ISNUMBER(D85),D85,"")),IF(IFERROR(LOOKUP(2,1/(A$4:A84=A85),F$4:F84),0)&lt;=0,D85,(MAX(0,IFERROR(LOOKUP(2,1/(A$4:A84=A85),F$4:F84),0))*IFERROR(LOOKUP(2,1/(A$4:A84=A85),G$4:G84),0)+C85*D85)/(MAX(0,IFERROR(LOOKUP(2,1/(A$4:A84=A85),F$4:F84),0))+C85))))</f>
        <v>110.03649048966177</v>
      </c>
      <c r="I85" s="7"/>
    </row>
    <row r="86" spans="1:9" x14ac:dyDescent="0.4">
      <c r="A86" s="4" t="s">
        <v>3</v>
      </c>
      <c r="B86" s="5">
        <v>46235</v>
      </c>
      <c r="C86" s="6"/>
      <c r="D86" s="7">
        <v>100.87</v>
      </c>
      <c r="E86" s="6">
        <v>618</v>
      </c>
      <c r="F86" s="6">
        <f>IF(A86="","",IFERROR(LOOKUP(2,1/(A$4:A85=A86),F$4:F85),0)+IF(ISNUMBER(C86),C86,0)-IF(ISNUMBER(E86),E86,0))</f>
        <v>1171</v>
      </c>
      <c r="G86" s="11">
        <f>IF(A86="","",IF(IF(ISNUMBER(C86),C86,0)=0,IFERROR(LOOKUP(2,1/(A$4:A85=A86),G$4:G85),IF(ISNUMBER(D86),D86,"")),IF(IFERROR(LOOKUP(2,1/(A$4:A85=A86),F$4:F85),0)&lt;=0,D86,(MAX(0,IFERROR(LOOKUP(2,1/(A$4:A85=A86),F$4:F85),0))*IFERROR(LOOKUP(2,1/(A$4:A85=A86),G$4:G85),0)+C86*D86)/(MAX(0,IFERROR(LOOKUP(2,1/(A$4:A85=A86),F$4:F85),0))+C86))))</f>
        <v>110.03649048966177</v>
      </c>
      <c r="I86" s="7"/>
    </row>
    <row r="87" spans="1:9" x14ac:dyDescent="0.4">
      <c r="A87" s="4" t="s">
        <v>3</v>
      </c>
      <c r="B87" s="5">
        <v>46266</v>
      </c>
      <c r="C87" s="6"/>
      <c r="D87" s="7">
        <v>110.04</v>
      </c>
      <c r="E87" s="6">
        <v>30</v>
      </c>
      <c r="F87" s="6">
        <f>IF(A87="","",IFERROR(LOOKUP(2,1/(A$4:A86=A87),F$4:F86),0)+IF(ISNUMBER(C87),C87,0)-IF(ISNUMBER(E87),E87,0))</f>
        <v>1141</v>
      </c>
      <c r="G87" s="11">
        <f>IF(A87="","",IF(IF(ISNUMBER(C87),C87,0)=0,IFERROR(LOOKUP(2,1/(A$4:A86=A87),G$4:G86),IF(ISNUMBER(D87),D87,"")),IF(IFERROR(LOOKUP(2,1/(A$4:A86=A87),F$4:F86),0)&lt;=0,D87,(MAX(0,IFERROR(LOOKUP(2,1/(A$4:A86=A87),F$4:F86),0))*IFERROR(LOOKUP(2,1/(A$4:A86=A87),G$4:G86),0)+C87*D87)/(MAX(0,IFERROR(LOOKUP(2,1/(A$4:A86=A87),F$4:F86),0))+C87))))</f>
        <v>110.03649048966177</v>
      </c>
      <c r="I87" s="7"/>
    </row>
    <row r="88" spans="1:9" x14ac:dyDescent="0.4">
      <c r="A88" s="4" t="s">
        <v>3</v>
      </c>
      <c r="B88" s="5">
        <v>46266</v>
      </c>
      <c r="C88" s="6">
        <v>444</v>
      </c>
      <c r="D88" s="7">
        <v>114.4</v>
      </c>
      <c r="E88" s="6"/>
      <c r="F88" s="6">
        <f>IF(A88="","",IFERROR(LOOKUP(2,1/(A$4:A87=A88),F$4:F87),0)+IF(ISNUMBER(C88),C88,0)-IF(ISNUMBER(E88),E88,0))</f>
        <v>1585</v>
      </c>
      <c r="G88" s="11">
        <f>IF(A88="","",IF(IF(ISNUMBER(C88),C88,0)=0,IFERROR(LOOKUP(2,1/(A$4:A87=A88),G$4:G87),IF(ISNUMBER(D88),D88,"")),IF(IFERROR(LOOKUP(2,1/(A$4:A87=A88),F$4:F87),0)&lt;=0,D88,(MAX(0,IFERROR(LOOKUP(2,1/(A$4:A87=A88),F$4:F87),0))*IFERROR(LOOKUP(2,1/(A$4:A87=A88),G$4:G87),0)+C88*D88)/(MAX(0,IFERROR(LOOKUP(2,1/(A$4:A87=A88),F$4:F87),0))+C88))))</f>
        <v>111.25882375312563</v>
      </c>
      <c r="I88" s="7"/>
    </row>
    <row r="89" spans="1:9" x14ac:dyDescent="0.4">
      <c r="A89" s="4" t="s">
        <v>3</v>
      </c>
      <c r="B89" s="5">
        <v>46296</v>
      </c>
      <c r="C89" s="6"/>
      <c r="D89" s="7">
        <v>111.24</v>
      </c>
      <c r="E89" s="6">
        <v>70</v>
      </c>
      <c r="F89" s="6">
        <f>IF(A89="","",IFERROR(LOOKUP(2,1/(A$4:A88=A89),F$4:F88),0)+IF(ISNUMBER(C89),C89,0)-IF(ISNUMBER(E89),E89,0))</f>
        <v>1515</v>
      </c>
      <c r="G89" s="11">
        <f>IF(A89="","",IF(IF(ISNUMBER(C89),C89,0)=0,IFERROR(LOOKUP(2,1/(A$4:A88=A89),G$4:G88),IF(ISNUMBER(D89),D89,"")),IF(IFERROR(LOOKUP(2,1/(A$4:A88=A89),F$4:F88),0)&lt;=0,D89,(MAX(0,IFERROR(LOOKUP(2,1/(A$4:A88=A89),F$4:F88),0))*IFERROR(LOOKUP(2,1/(A$4:A88=A89),G$4:G88),0)+C89*D89)/(MAX(0,IFERROR(LOOKUP(2,1/(A$4:A88=A89),F$4:F88),0))+C89))))</f>
        <v>111.25882375312563</v>
      </c>
      <c r="I89" s="7"/>
    </row>
    <row r="90" spans="1:9" x14ac:dyDescent="0.4">
      <c r="A90" s="4" t="s">
        <v>4</v>
      </c>
      <c r="B90" s="5">
        <v>45931</v>
      </c>
      <c r="C90" s="6">
        <v>32</v>
      </c>
      <c r="D90" s="7">
        <v>79.2</v>
      </c>
      <c r="E90" s="6"/>
      <c r="F90" s="6">
        <f>IF(A90="","",IFERROR(LOOKUP(2,1/(A$4:A89=A90),F$4:F89),0)+IF(ISNUMBER(C90),C90,0)-IF(ISNUMBER(E90),E90,0))</f>
        <v>32</v>
      </c>
      <c r="G90" s="11">
        <f>IF(A90="","",IF(IF(ISNUMBER(C90),C90,0)=0,IFERROR(LOOKUP(2,1/(A$4:A89=A90),G$4:G89),IF(ISNUMBER(D90),D90,"")),IF(IFERROR(LOOKUP(2,1/(A$4:A89=A90),F$4:F89),0)&lt;=0,D90,(MAX(0,IFERROR(LOOKUP(2,1/(A$4:A89=A90),F$4:F89),0))*IFERROR(LOOKUP(2,1/(A$4:A89=A90),G$4:G89),0)+C90*D90)/(MAX(0,IFERROR(LOOKUP(2,1/(A$4:A89=A90),F$4:F89),0))+C90))))</f>
        <v>79.2</v>
      </c>
      <c r="I90" s="7"/>
    </row>
    <row r="91" spans="1:9" x14ac:dyDescent="0.4">
      <c r="A91" s="4" t="s">
        <v>4</v>
      </c>
      <c r="B91" s="5">
        <v>45962</v>
      </c>
      <c r="C91" s="6"/>
      <c r="D91" s="7">
        <v>79.2</v>
      </c>
      <c r="E91" s="6"/>
      <c r="F91" s="6">
        <f>IF(A91="","",IFERROR(LOOKUP(2,1/(A$4:A90=A91),F$4:F90),0)+IF(ISNUMBER(C91),C91,0)-IF(ISNUMBER(E91),E91,0))</f>
        <v>32</v>
      </c>
      <c r="G91" s="11">
        <f>IF(A91="","",IF(IF(ISNUMBER(C91),C91,0)=0,IFERROR(LOOKUP(2,1/(A$4:A90=A91),G$4:G90),IF(ISNUMBER(D91),D91,"")),IF(IFERROR(LOOKUP(2,1/(A$4:A90=A91),F$4:F90),0)&lt;=0,D91,(MAX(0,IFERROR(LOOKUP(2,1/(A$4:A90=A91),F$4:F90),0))*IFERROR(LOOKUP(2,1/(A$4:A90=A91),G$4:G90),0)+C91*D91)/(MAX(0,IFERROR(LOOKUP(2,1/(A$4:A90=A91),F$4:F90),0))+C91))))</f>
        <v>79.2</v>
      </c>
      <c r="I91" s="7"/>
    </row>
    <row r="92" spans="1:9" x14ac:dyDescent="0.4">
      <c r="A92" s="4" t="s">
        <v>4</v>
      </c>
      <c r="B92" s="5">
        <v>45992</v>
      </c>
      <c r="C92" s="6"/>
      <c r="D92" s="7">
        <v>79.2</v>
      </c>
      <c r="E92" s="6"/>
      <c r="F92" s="6">
        <f>IF(A92="","",IFERROR(LOOKUP(2,1/(A$4:A91=A92),F$4:F91),0)+IF(ISNUMBER(C92),C92,0)-IF(ISNUMBER(E92),E92,0))</f>
        <v>32</v>
      </c>
      <c r="G92" s="11">
        <f>IF(A92="","",IF(IF(ISNUMBER(C92),C92,0)=0,IFERROR(LOOKUP(2,1/(A$4:A91=A92),G$4:G91),IF(ISNUMBER(D92),D92,"")),IF(IFERROR(LOOKUP(2,1/(A$4:A91=A92),F$4:F91),0)&lt;=0,D92,(MAX(0,IFERROR(LOOKUP(2,1/(A$4:A91=A92),F$4:F91),0))*IFERROR(LOOKUP(2,1/(A$4:A91=A92),G$4:G91),0)+C92*D92)/(MAX(0,IFERROR(LOOKUP(2,1/(A$4:A91=A92),F$4:F91),0))+C92))))</f>
        <v>79.2</v>
      </c>
      <c r="I92" s="7"/>
    </row>
    <row r="93" spans="1:9" x14ac:dyDescent="0.4">
      <c r="A93" s="4" t="s">
        <v>4</v>
      </c>
      <c r="B93" s="5">
        <v>46023</v>
      </c>
      <c r="C93" s="6"/>
      <c r="D93" s="7">
        <v>79.2</v>
      </c>
      <c r="E93" s="6"/>
      <c r="F93" s="6">
        <f>IF(A93="","",IFERROR(LOOKUP(2,1/(A$4:A92=A93),F$4:F92),0)+IF(ISNUMBER(C93),C93,0)-IF(ISNUMBER(E93),E93,0))</f>
        <v>32</v>
      </c>
      <c r="G93" s="11">
        <f>IF(A93="","",IF(IF(ISNUMBER(C93),C93,0)=0,IFERROR(LOOKUP(2,1/(A$4:A92=A93),G$4:G92),IF(ISNUMBER(D93),D93,"")),IF(IFERROR(LOOKUP(2,1/(A$4:A92=A93),F$4:F92),0)&lt;=0,D93,(MAX(0,IFERROR(LOOKUP(2,1/(A$4:A92=A93),F$4:F92),0))*IFERROR(LOOKUP(2,1/(A$4:A92=A93),G$4:G92),0)+C93*D93)/(MAX(0,IFERROR(LOOKUP(2,1/(A$4:A92=A93),F$4:F92),0))+C93))))</f>
        <v>79.2</v>
      </c>
      <c r="I93" s="7"/>
    </row>
    <row r="94" spans="1:9" x14ac:dyDescent="0.4">
      <c r="A94" s="4" t="s">
        <v>4</v>
      </c>
      <c r="B94" s="5">
        <v>46054</v>
      </c>
      <c r="C94" s="6"/>
      <c r="D94" s="7">
        <v>79.2</v>
      </c>
      <c r="E94" s="6"/>
      <c r="F94" s="6">
        <f>IF(A94="","",IFERROR(LOOKUP(2,1/(A$4:A93=A94),F$4:F93),0)+IF(ISNUMBER(C94),C94,0)-IF(ISNUMBER(E94),E94,0))</f>
        <v>32</v>
      </c>
      <c r="G94" s="11">
        <f>IF(A94="","",IF(IF(ISNUMBER(C94),C94,0)=0,IFERROR(LOOKUP(2,1/(A$4:A93=A94),G$4:G93),IF(ISNUMBER(D94),D94,"")),IF(IFERROR(LOOKUP(2,1/(A$4:A93=A94),F$4:F93),0)&lt;=0,D94,(MAX(0,IFERROR(LOOKUP(2,1/(A$4:A93=A94),F$4:F93),0))*IFERROR(LOOKUP(2,1/(A$4:A93=A94),G$4:G93),0)+C94*D94)/(MAX(0,IFERROR(LOOKUP(2,1/(A$4:A93=A94),F$4:F93),0))+C94))))</f>
        <v>79.2</v>
      </c>
      <c r="I94" s="7"/>
    </row>
    <row r="95" spans="1:9" x14ac:dyDescent="0.4">
      <c r="A95" s="4" t="s">
        <v>4</v>
      </c>
      <c r="B95" s="5">
        <v>46054</v>
      </c>
      <c r="C95" s="6"/>
      <c r="D95" s="7">
        <v>79.2</v>
      </c>
      <c r="E95" s="6"/>
      <c r="F95" s="6">
        <f>IF(A95="","",IFERROR(LOOKUP(2,1/(A$4:A94=A95),F$4:F94),0)+IF(ISNUMBER(C95),C95,0)-IF(ISNUMBER(E95),E95,0))</f>
        <v>32</v>
      </c>
      <c r="G95" s="11">
        <f>IF(A95="","",IF(IF(ISNUMBER(C95),C95,0)=0,IFERROR(LOOKUP(2,1/(A$4:A94=A95),G$4:G94),IF(ISNUMBER(D95),D95,"")),IF(IFERROR(LOOKUP(2,1/(A$4:A94=A95),F$4:F94),0)&lt;=0,D95,(MAX(0,IFERROR(LOOKUP(2,1/(A$4:A94=A95),F$4:F94),0))*IFERROR(LOOKUP(2,1/(A$4:A94=A95),G$4:G94),0)+C95*D95)/(MAX(0,IFERROR(LOOKUP(2,1/(A$4:A94=A95),F$4:F94),0))+C95))))</f>
        <v>79.2</v>
      </c>
      <c r="I95" s="7"/>
    </row>
    <row r="96" spans="1:9" x14ac:dyDescent="0.4">
      <c r="A96" s="4" t="s">
        <v>4</v>
      </c>
      <c r="B96" s="5">
        <v>46082</v>
      </c>
      <c r="C96" s="6"/>
      <c r="D96" s="7">
        <v>79.2</v>
      </c>
      <c r="E96" s="6"/>
      <c r="F96" s="6">
        <f>IF(A96="","",IFERROR(LOOKUP(2,1/(A$4:A95=A96),F$4:F95),0)+IF(ISNUMBER(C96),C96,0)-IF(ISNUMBER(E96),E96,0))</f>
        <v>32</v>
      </c>
      <c r="G96" s="11">
        <f>IF(A96="","",IF(IF(ISNUMBER(C96),C96,0)=0,IFERROR(LOOKUP(2,1/(A$4:A95=A96),G$4:G95),IF(ISNUMBER(D96),D96,"")),IF(IFERROR(LOOKUP(2,1/(A$4:A95=A96),F$4:F95),0)&lt;=0,D96,(MAX(0,IFERROR(LOOKUP(2,1/(A$4:A95=A96),F$4:F95),0))*IFERROR(LOOKUP(2,1/(A$4:A95=A96),G$4:G95),0)+C96*D96)/(MAX(0,IFERROR(LOOKUP(2,1/(A$4:A95=A96),F$4:F95),0))+C96))))</f>
        <v>79.2</v>
      </c>
      <c r="I96" s="7"/>
    </row>
    <row r="97" spans="1:9" x14ac:dyDescent="0.4">
      <c r="A97" s="4" t="s">
        <v>4</v>
      </c>
      <c r="B97" s="5">
        <v>46113</v>
      </c>
      <c r="C97" s="6"/>
      <c r="D97" s="7">
        <v>79.2</v>
      </c>
      <c r="E97" s="6">
        <v>20</v>
      </c>
      <c r="F97" s="6">
        <f>IF(A97="","",IFERROR(LOOKUP(2,1/(A$4:A96=A97),F$4:F96),0)+IF(ISNUMBER(C97),C97,0)-IF(ISNUMBER(E97),E97,0))</f>
        <v>12</v>
      </c>
      <c r="G97" s="11">
        <f>IF(A97="","",IF(IF(ISNUMBER(C97),C97,0)=0,IFERROR(LOOKUP(2,1/(A$4:A96=A97),G$4:G96),IF(ISNUMBER(D97),D97,"")),IF(IFERROR(LOOKUP(2,1/(A$4:A96=A97),F$4:F96),0)&lt;=0,D97,(MAX(0,IFERROR(LOOKUP(2,1/(A$4:A96=A97),F$4:F96),0))*IFERROR(LOOKUP(2,1/(A$4:A96=A97),G$4:G96),0)+C97*D97)/(MAX(0,IFERROR(LOOKUP(2,1/(A$4:A96=A97),F$4:F96),0))+C97))))</f>
        <v>79.2</v>
      </c>
      <c r="I97" s="7"/>
    </row>
    <row r="98" spans="1:9" x14ac:dyDescent="0.4">
      <c r="A98" s="4" t="s">
        <v>4</v>
      </c>
      <c r="B98" s="5">
        <v>46143</v>
      </c>
      <c r="C98" s="6">
        <v>1000</v>
      </c>
      <c r="D98" s="7">
        <v>91.8</v>
      </c>
      <c r="E98" s="6">
        <v>408</v>
      </c>
      <c r="F98" s="6">
        <f>IF(A98="","",IFERROR(LOOKUP(2,1/(A$4:A97=A98),F$4:F97),0)+IF(ISNUMBER(C98),C98,0)-IF(ISNUMBER(E98),E98,0))</f>
        <v>604</v>
      </c>
      <c r="G98" s="11">
        <f>IF(A98="","",IF(IF(ISNUMBER(C98),C98,0)=0,IFERROR(LOOKUP(2,1/(A$4:A97=A98),G$4:G97),IF(ISNUMBER(D98),D98,"")),IF(IFERROR(LOOKUP(2,1/(A$4:A97=A98),F$4:F97),0)&lt;=0,D98,(MAX(0,IFERROR(LOOKUP(2,1/(A$4:A97=A98),F$4:F97),0))*IFERROR(LOOKUP(2,1/(A$4:A97=A98),G$4:G97),0)+C98*D98)/(MAX(0,IFERROR(LOOKUP(2,1/(A$4:A97=A98),F$4:F97),0))+C98))))</f>
        <v>91.650592885375488</v>
      </c>
      <c r="I98" s="7"/>
    </row>
    <row r="99" spans="1:9" x14ac:dyDescent="0.4">
      <c r="A99" s="4" t="s">
        <v>4</v>
      </c>
      <c r="B99" s="5">
        <v>46143</v>
      </c>
      <c r="C99" s="6"/>
      <c r="D99" s="7">
        <v>79.2</v>
      </c>
      <c r="E99" s="6">
        <v>12</v>
      </c>
      <c r="F99" s="6">
        <f>IF(A99="","",IFERROR(LOOKUP(2,1/(A$4:A98=A99),F$4:F98),0)+IF(ISNUMBER(C99),C99,0)-IF(ISNUMBER(E99),E99,0))</f>
        <v>592</v>
      </c>
      <c r="G99" s="11">
        <f>IF(A99="","",IF(IF(ISNUMBER(C99),C99,0)=0,IFERROR(LOOKUP(2,1/(A$4:A98=A99),G$4:G98),IF(ISNUMBER(D99),D99,"")),IF(IFERROR(LOOKUP(2,1/(A$4:A98=A99),F$4:F98),0)&lt;=0,D99,(MAX(0,IFERROR(LOOKUP(2,1/(A$4:A98=A99),F$4:F98),0))*IFERROR(LOOKUP(2,1/(A$4:A98=A99),G$4:G98),0)+C99*D99)/(MAX(0,IFERROR(LOOKUP(2,1/(A$4:A98=A99),F$4:F98),0))+C99))))</f>
        <v>91.650592885375488</v>
      </c>
      <c r="I99" s="7"/>
    </row>
    <row r="100" spans="1:9" x14ac:dyDescent="0.4">
      <c r="A100" s="4" t="s">
        <v>4</v>
      </c>
      <c r="B100" s="5">
        <v>46174</v>
      </c>
      <c r="C100" s="6">
        <v>1000</v>
      </c>
      <c r="D100" s="7">
        <v>94.9</v>
      </c>
      <c r="E100" s="6">
        <v>133</v>
      </c>
      <c r="F100" s="6">
        <f>IF(A100="","",IFERROR(LOOKUP(2,1/(A$4:A99=A100),F$4:F99),0)+IF(ISNUMBER(C100),C100,0)-IF(ISNUMBER(E100),E100,0))</f>
        <v>1459</v>
      </c>
      <c r="G100" s="11">
        <f>IF(A100="","",IF(IF(ISNUMBER(C100),C100,0)=0,IFERROR(LOOKUP(2,1/(A$4:A99=A100),G$4:G99),IF(ISNUMBER(D100),D100,"")),IF(IFERROR(LOOKUP(2,1/(A$4:A99=A100),F$4:F99),0)&lt;=0,D100,(MAX(0,IFERROR(LOOKUP(2,1/(A$4:A99=A100),F$4:F99),0))*IFERROR(LOOKUP(2,1/(A$4:A99=A100),G$4:G99),0)+C100*D100)/(MAX(0,IFERROR(LOOKUP(2,1/(A$4:A99=A100),F$4:F99),0))+C100))))</f>
        <v>93.691677756370794</v>
      </c>
      <c r="I100" s="7"/>
    </row>
    <row r="101" spans="1:9" x14ac:dyDescent="0.4">
      <c r="A101" s="4" t="s">
        <v>4</v>
      </c>
      <c r="B101" s="5">
        <v>46174</v>
      </c>
      <c r="C101" s="6"/>
      <c r="D101" s="7">
        <v>91.65</v>
      </c>
      <c r="E101" s="6">
        <v>592</v>
      </c>
      <c r="F101" s="6">
        <f>IF(A101="","",IFERROR(LOOKUP(2,1/(A$4:A100=A101),F$4:F100),0)+IF(ISNUMBER(C101),C101,0)-IF(ISNUMBER(E101),E101,0))</f>
        <v>867</v>
      </c>
      <c r="G101" s="11">
        <f>IF(A101="","",IF(IF(ISNUMBER(C101),C101,0)=0,IFERROR(LOOKUP(2,1/(A$4:A100=A101),G$4:G100),IF(ISNUMBER(D101),D101,"")),IF(IFERROR(LOOKUP(2,1/(A$4:A100=A101),F$4:F100),0)&lt;=0,D101,(MAX(0,IFERROR(LOOKUP(2,1/(A$4:A100=A101),F$4:F100),0))*IFERROR(LOOKUP(2,1/(A$4:A100=A101),G$4:G100),0)+C101*D101)/(MAX(0,IFERROR(LOOKUP(2,1/(A$4:A100=A101),F$4:F100),0))+C101))))</f>
        <v>93.691677756370794</v>
      </c>
      <c r="I101" s="7"/>
    </row>
    <row r="102" spans="1:9" x14ac:dyDescent="0.4">
      <c r="A102" s="4" t="s">
        <v>4</v>
      </c>
      <c r="B102" s="5">
        <v>46174</v>
      </c>
      <c r="C102" s="6">
        <v>20</v>
      </c>
      <c r="D102" s="7">
        <v>91.8</v>
      </c>
      <c r="E102" s="6"/>
      <c r="F102" s="6">
        <f>IF(A102="","",IFERROR(LOOKUP(2,1/(A$4:A101=A102),F$4:F101),0)+IF(ISNUMBER(C102),C102,0)-IF(ISNUMBER(E102),E102,0))</f>
        <v>887</v>
      </c>
      <c r="G102" s="11">
        <f>IF(A102="","",IF(IF(ISNUMBER(C102),C102,0)=0,IFERROR(LOOKUP(2,1/(A$4:A101=A102),G$4:G101),IF(ISNUMBER(D102),D102,"")),IF(IFERROR(LOOKUP(2,1/(A$4:A101=A102),F$4:F101),0)&lt;=0,D102,(MAX(0,IFERROR(LOOKUP(2,1/(A$4:A101=A102),F$4:F101),0))*IFERROR(LOOKUP(2,1/(A$4:A101=A102),G$4:G101),0)+C102*D102)/(MAX(0,IFERROR(LOOKUP(2,1/(A$4:A101=A102),F$4:F101),0))+C102))))</f>
        <v>93.649024368403019</v>
      </c>
      <c r="I102" s="7"/>
    </row>
    <row r="103" spans="1:9" x14ac:dyDescent="0.4">
      <c r="A103" s="4" t="s">
        <v>4</v>
      </c>
      <c r="B103" s="5">
        <v>46204</v>
      </c>
      <c r="C103" s="6"/>
      <c r="D103" s="7">
        <v>93.67</v>
      </c>
      <c r="E103" s="6">
        <v>190</v>
      </c>
      <c r="F103" s="6">
        <f>IF(A103="","",IFERROR(LOOKUP(2,1/(A$4:A102=A103),F$4:F102),0)+IF(ISNUMBER(C103),C103,0)-IF(ISNUMBER(E103),E103,0))</f>
        <v>697</v>
      </c>
      <c r="G103" s="11">
        <f>IF(A103="","",IF(IF(ISNUMBER(C103),C103,0)=0,IFERROR(LOOKUP(2,1/(A$4:A102=A103),G$4:G102),IF(ISNUMBER(D103),D103,"")),IF(IFERROR(LOOKUP(2,1/(A$4:A102=A103),F$4:F102),0)&lt;=0,D103,(MAX(0,IFERROR(LOOKUP(2,1/(A$4:A102=A103),F$4:F102),0))*IFERROR(LOOKUP(2,1/(A$4:A102=A103),G$4:G102),0)+C103*D103)/(MAX(0,IFERROR(LOOKUP(2,1/(A$4:A102=A103),F$4:F102),0))+C103))))</f>
        <v>93.649024368403019</v>
      </c>
      <c r="I103" s="7"/>
    </row>
    <row r="104" spans="1:9" x14ac:dyDescent="0.4">
      <c r="A104" s="4" t="s">
        <v>4</v>
      </c>
      <c r="B104" s="5">
        <v>46235</v>
      </c>
      <c r="C104" s="6"/>
      <c r="D104" s="7">
        <v>93.67</v>
      </c>
      <c r="E104" s="6">
        <v>366</v>
      </c>
      <c r="F104" s="6">
        <f>IF(A104="","",IFERROR(LOOKUP(2,1/(A$4:A103=A104),F$4:F103),0)+IF(ISNUMBER(C104),C104,0)-IF(ISNUMBER(E104),E104,0))</f>
        <v>331</v>
      </c>
      <c r="G104" s="11">
        <f>IF(A104="","",IF(IF(ISNUMBER(C104),C104,0)=0,IFERROR(LOOKUP(2,1/(A$4:A103=A104),G$4:G103),IF(ISNUMBER(D104),D104,"")),IF(IFERROR(LOOKUP(2,1/(A$4:A103=A104),F$4:F103),0)&lt;=0,D104,(MAX(0,IFERROR(LOOKUP(2,1/(A$4:A103=A104),F$4:F103),0))*IFERROR(LOOKUP(2,1/(A$4:A103=A104),G$4:G103),0)+C104*D104)/(MAX(0,IFERROR(LOOKUP(2,1/(A$4:A103=A104),F$4:F103),0))+C104))))</f>
        <v>93.649024368403019</v>
      </c>
      <c r="I104" s="7"/>
    </row>
    <row r="105" spans="1:9" x14ac:dyDescent="0.4">
      <c r="A105" s="4" t="s">
        <v>4</v>
      </c>
      <c r="B105" s="5">
        <v>46266</v>
      </c>
      <c r="C105" s="6"/>
      <c r="D105" s="7">
        <v>93.67</v>
      </c>
      <c r="E105" s="6">
        <v>570</v>
      </c>
      <c r="F105" s="6">
        <f>IF(A105="","",IFERROR(LOOKUP(2,1/(A$4:A104=A105),F$4:F104),0)+IF(ISNUMBER(C105),C105,0)-IF(ISNUMBER(E105),E105,0))</f>
        <v>-239</v>
      </c>
      <c r="G105" s="11">
        <f>IF(A105="","",IF(IF(ISNUMBER(C105),C105,0)=0,IFERROR(LOOKUP(2,1/(A$4:A104=A105),G$4:G104),IF(ISNUMBER(D105),D105,"")),IF(IFERROR(LOOKUP(2,1/(A$4:A104=A105),F$4:F104),0)&lt;=0,D105,(MAX(0,IFERROR(LOOKUP(2,1/(A$4:A104=A105),F$4:F104),0))*IFERROR(LOOKUP(2,1/(A$4:A104=A105),G$4:G104),0)+C105*D105)/(MAX(0,IFERROR(LOOKUP(2,1/(A$4:A104=A105),F$4:F104),0))+C105))))</f>
        <v>93.649024368403019</v>
      </c>
      <c r="I105" s="7"/>
    </row>
    <row r="106" spans="1:9" x14ac:dyDescent="0.4">
      <c r="A106" s="4" t="s">
        <v>4</v>
      </c>
      <c r="B106" s="5">
        <v>46296</v>
      </c>
      <c r="C106" s="6"/>
      <c r="D106" s="7">
        <v>93.67</v>
      </c>
      <c r="E106" s="6">
        <v>580</v>
      </c>
      <c r="F106" s="6">
        <f>IF(A106="","",IFERROR(LOOKUP(2,1/(A$4:A105=A106),F$4:F105),0)+IF(ISNUMBER(C106),C106,0)-IF(ISNUMBER(E106),E106,0))</f>
        <v>-819</v>
      </c>
      <c r="G106" s="11">
        <f>IF(A106="","",IF(IF(ISNUMBER(C106),C106,0)=0,IFERROR(LOOKUP(2,1/(A$4:A105=A106),G$4:G105),IF(ISNUMBER(D106),D106,"")),IF(IFERROR(LOOKUP(2,1/(A$4:A105=A106),F$4:F105),0)&lt;=0,D106,(MAX(0,IFERROR(LOOKUP(2,1/(A$4:A105=A106),F$4:F105),0))*IFERROR(LOOKUP(2,1/(A$4:A105=A106),G$4:G105),0)+C106*D106)/(MAX(0,IFERROR(LOOKUP(2,1/(A$4:A105=A106),F$4:F105),0))+C106))))</f>
        <v>93.649024368403019</v>
      </c>
      <c r="I106" s="7"/>
    </row>
    <row r="107" spans="1:9" x14ac:dyDescent="0.4">
      <c r="A107" s="4" t="s">
        <v>5</v>
      </c>
      <c r="B107" s="5">
        <v>45931</v>
      </c>
      <c r="C107" s="6">
        <v>200</v>
      </c>
      <c r="D107" s="7">
        <v>77.2</v>
      </c>
      <c r="E107" s="6">
        <v>6</v>
      </c>
      <c r="F107" s="6">
        <f>IF(A107="","",IFERROR(LOOKUP(2,1/(A$4:A106=A107),F$4:F106),0)+IF(ISNUMBER(C107),C107,0)-IF(ISNUMBER(E107),E107,0))</f>
        <v>194</v>
      </c>
      <c r="G107" s="11">
        <f>IF(A107="","",IF(IF(ISNUMBER(C107),C107,0)=0,IFERROR(LOOKUP(2,1/(A$4:A106=A107),G$4:G106),IF(ISNUMBER(D107),D107,"")),IF(IFERROR(LOOKUP(2,1/(A$4:A106=A107),F$4:F106),0)&lt;=0,D107,(MAX(0,IFERROR(LOOKUP(2,1/(A$4:A106=A107),F$4:F106),0))*IFERROR(LOOKUP(2,1/(A$4:A106=A107),G$4:G106),0)+C107*D107)/(MAX(0,IFERROR(LOOKUP(2,1/(A$4:A106=A107),F$4:F106),0))+C107))))</f>
        <v>77.2</v>
      </c>
      <c r="I107" s="7"/>
    </row>
    <row r="108" spans="1:9" x14ac:dyDescent="0.4">
      <c r="A108" s="4" t="s">
        <v>5</v>
      </c>
      <c r="B108" s="5">
        <v>45962</v>
      </c>
      <c r="C108" s="6">
        <v>300</v>
      </c>
      <c r="D108" s="7">
        <v>86.2</v>
      </c>
      <c r="E108" s="6">
        <v>291</v>
      </c>
      <c r="F108" s="6">
        <f>IF(A108="","",IFERROR(LOOKUP(2,1/(A$4:A107=A108),F$4:F107),0)+IF(ISNUMBER(C108),C108,0)-IF(ISNUMBER(E108),E108,0))</f>
        <v>203</v>
      </c>
      <c r="G108" s="11">
        <f>IF(A108="","",IF(IF(ISNUMBER(C108),C108,0)=0,IFERROR(LOOKUP(2,1/(A$4:A107=A108),G$4:G107),IF(ISNUMBER(D108),D108,"")),IF(IFERROR(LOOKUP(2,1/(A$4:A107=A108),F$4:F107),0)&lt;=0,D108,(MAX(0,IFERROR(LOOKUP(2,1/(A$4:A107=A108),F$4:F107),0))*IFERROR(LOOKUP(2,1/(A$4:A107=A108),G$4:G107),0)+C108*D108)/(MAX(0,IFERROR(LOOKUP(2,1/(A$4:A107=A108),F$4:F107),0))+C108))))</f>
        <v>82.665587044534419</v>
      </c>
      <c r="I108" s="7"/>
    </row>
    <row r="109" spans="1:9" x14ac:dyDescent="0.4">
      <c r="A109" s="4" t="s">
        <v>5</v>
      </c>
      <c r="B109" s="5">
        <v>45962</v>
      </c>
      <c r="C109" s="6"/>
      <c r="D109" s="7">
        <v>77.2</v>
      </c>
      <c r="E109" s="6">
        <v>194</v>
      </c>
      <c r="F109" s="6">
        <f>IF(A109="","",IFERROR(LOOKUP(2,1/(A$4:A108=A109),F$4:F108),0)+IF(ISNUMBER(C109),C109,0)-IF(ISNUMBER(E109),E109,0))</f>
        <v>9</v>
      </c>
      <c r="G109" s="11">
        <f>IF(A109="","",IF(IF(ISNUMBER(C109),C109,0)=0,IFERROR(LOOKUP(2,1/(A$4:A108=A109),G$4:G108),IF(ISNUMBER(D109),D109,"")),IF(IFERROR(LOOKUP(2,1/(A$4:A108=A109),F$4:F108),0)&lt;=0,D109,(MAX(0,IFERROR(LOOKUP(2,1/(A$4:A108=A109),F$4:F108),0))*IFERROR(LOOKUP(2,1/(A$4:A108=A109),G$4:G108),0)+C109*D109)/(MAX(0,IFERROR(LOOKUP(2,1/(A$4:A108=A109),F$4:F108),0))+C109))))</f>
        <v>82.665587044534419</v>
      </c>
      <c r="I109" s="7"/>
    </row>
    <row r="110" spans="1:9" x14ac:dyDescent="0.4">
      <c r="A110" s="4" t="s">
        <v>5</v>
      </c>
      <c r="B110" s="5">
        <v>45992</v>
      </c>
      <c r="C110" s="6">
        <v>278</v>
      </c>
      <c r="D110" s="7">
        <v>95.2</v>
      </c>
      <c r="E110" s="6">
        <v>206</v>
      </c>
      <c r="F110" s="6">
        <f>IF(A110="","",IFERROR(LOOKUP(2,1/(A$4:A109=A110),F$4:F109),0)+IF(ISNUMBER(C110),C110,0)-IF(ISNUMBER(E110),E110,0))</f>
        <v>81</v>
      </c>
      <c r="G110" s="11">
        <f>IF(A110="","",IF(IF(ISNUMBER(C110),C110,0)=0,IFERROR(LOOKUP(2,1/(A$4:A109=A110),G$4:G109),IF(ISNUMBER(D110),D110,"")),IF(IFERROR(LOOKUP(2,1/(A$4:A109=A110),F$4:F109),0)&lt;=0,D110,(MAX(0,IFERROR(LOOKUP(2,1/(A$4:A109=A110),F$4:F109),0))*IFERROR(LOOKUP(2,1/(A$4:A109=A110),G$4:G109),0)+C110*D110)/(MAX(0,IFERROR(LOOKUP(2,1/(A$4:A109=A110),F$4:F109),0))+C110))))</f>
        <v>94.806934785368682</v>
      </c>
      <c r="I110" s="7"/>
    </row>
    <row r="111" spans="1:9" x14ac:dyDescent="0.4">
      <c r="A111" s="4" t="s">
        <v>5</v>
      </c>
      <c r="B111" s="5">
        <v>45992</v>
      </c>
      <c r="C111" s="6"/>
      <c r="D111" s="7">
        <v>82.67</v>
      </c>
      <c r="E111" s="6">
        <v>9</v>
      </c>
      <c r="F111" s="6">
        <f>IF(A111="","",IFERROR(LOOKUP(2,1/(A$4:A110=A111),F$4:F110),0)+IF(ISNUMBER(C111),C111,0)-IF(ISNUMBER(E111),E111,0))</f>
        <v>72</v>
      </c>
      <c r="G111" s="11">
        <f>IF(A111="","",IF(IF(ISNUMBER(C111),C111,0)=0,IFERROR(LOOKUP(2,1/(A$4:A110=A111),G$4:G110),IF(ISNUMBER(D111),D111,"")),IF(IFERROR(LOOKUP(2,1/(A$4:A110=A111),F$4:F110),0)&lt;=0,D111,(MAX(0,IFERROR(LOOKUP(2,1/(A$4:A110=A111),F$4:F110),0))*IFERROR(LOOKUP(2,1/(A$4:A110=A111),G$4:G110),0)+C111*D111)/(MAX(0,IFERROR(LOOKUP(2,1/(A$4:A110=A111),F$4:F110),0))+C111))))</f>
        <v>94.806934785368682</v>
      </c>
      <c r="I111" s="7"/>
    </row>
    <row r="112" spans="1:9" x14ac:dyDescent="0.4">
      <c r="A112" s="4" t="s">
        <v>5</v>
      </c>
      <c r="B112" s="5">
        <v>46023</v>
      </c>
      <c r="C112" s="6">
        <v>506</v>
      </c>
      <c r="D112" s="7">
        <v>94.2</v>
      </c>
      <c r="E112" s="6">
        <v>28</v>
      </c>
      <c r="F112" s="6">
        <f>IF(A112="","",IFERROR(LOOKUP(2,1/(A$4:A111=A112),F$4:F111),0)+IF(ISNUMBER(C112),C112,0)-IF(ISNUMBER(E112),E112,0))</f>
        <v>550</v>
      </c>
      <c r="G112" s="11">
        <f>IF(A112="","",IF(IF(ISNUMBER(C112),C112,0)=0,IFERROR(LOOKUP(2,1/(A$4:A111=A112),G$4:G111),IF(ISNUMBER(D112),D112,"")),IF(IFERROR(LOOKUP(2,1/(A$4:A111=A112),F$4:F111),0)&lt;=0,D112,(MAX(0,IFERROR(LOOKUP(2,1/(A$4:A111=A112),F$4:F111),0))*IFERROR(LOOKUP(2,1/(A$4:A111=A112),G$4:G111),0)+C112*D112)/(MAX(0,IFERROR(LOOKUP(2,1/(A$4:A111=A112),F$4:F111),0))+C112))))</f>
        <v>94.275604333125514</v>
      </c>
      <c r="I112" s="7"/>
    </row>
    <row r="113" spans="1:9" x14ac:dyDescent="0.4">
      <c r="A113" s="4" t="s">
        <v>5</v>
      </c>
      <c r="B113" s="5">
        <v>46023</v>
      </c>
      <c r="C113" s="6"/>
      <c r="D113" s="7">
        <v>94.81</v>
      </c>
      <c r="E113" s="6">
        <v>72</v>
      </c>
      <c r="F113" s="6">
        <f>IF(A113="","",IFERROR(LOOKUP(2,1/(A$4:A112=A113),F$4:F112),0)+IF(ISNUMBER(C113),C113,0)-IF(ISNUMBER(E113),E113,0))</f>
        <v>478</v>
      </c>
      <c r="G113" s="11">
        <f>IF(A113="","",IF(IF(ISNUMBER(C113),C113,0)=0,IFERROR(LOOKUP(2,1/(A$4:A112=A113),G$4:G112),IF(ISNUMBER(D113),D113,"")),IF(IFERROR(LOOKUP(2,1/(A$4:A112=A113),F$4:F112),0)&lt;=0,D113,(MAX(0,IFERROR(LOOKUP(2,1/(A$4:A112=A113),F$4:F112),0))*IFERROR(LOOKUP(2,1/(A$4:A112=A113),G$4:G112),0)+C113*D113)/(MAX(0,IFERROR(LOOKUP(2,1/(A$4:A112=A113),F$4:F112),0))+C113))))</f>
        <v>94.275604333125514</v>
      </c>
      <c r="I113" s="7"/>
    </row>
    <row r="114" spans="1:9" x14ac:dyDescent="0.4">
      <c r="A114" s="4" t="s">
        <v>5</v>
      </c>
      <c r="B114" s="5">
        <v>46082</v>
      </c>
      <c r="C114" s="6">
        <v>316</v>
      </c>
      <c r="D114" s="7">
        <v>94.2</v>
      </c>
      <c r="E114" s="6">
        <v>453</v>
      </c>
      <c r="F114" s="6">
        <f>IF(A114="","",IFERROR(LOOKUP(2,1/(A$4:A113=A114),F$4:F113),0)+IF(ISNUMBER(C114),C114,0)-IF(ISNUMBER(E114),E114,0))</f>
        <v>341</v>
      </c>
      <c r="G114" s="11">
        <f>IF(A114="","",IF(IF(ISNUMBER(C114),C114,0)=0,IFERROR(LOOKUP(2,1/(A$4:A113=A114),G$4:G113),IF(ISNUMBER(D114),D114,"")),IF(IFERROR(LOOKUP(2,1/(A$4:A113=A114),F$4:F113),0)&lt;=0,D114,(MAX(0,IFERROR(LOOKUP(2,1/(A$4:A113=A114),F$4:F113),0))*IFERROR(LOOKUP(2,1/(A$4:A113=A114),G$4:G113),0)+C114*D114)/(MAX(0,IFERROR(LOOKUP(2,1/(A$4:A113=A114),F$4:F113),0))+C114))))</f>
        <v>94.245514951176318</v>
      </c>
      <c r="I114" s="7"/>
    </row>
    <row r="115" spans="1:9" x14ac:dyDescent="0.4">
      <c r="A115" s="4" t="s">
        <v>5</v>
      </c>
      <c r="B115" s="5">
        <v>46082</v>
      </c>
      <c r="C115" s="6"/>
      <c r="D115" s="7">
        <v>92.28</v>
      </c>
      <c r="E115" s="6">
        <v>319</v>
      </c>
      <c r="F115" s="6">
        <f>IF(A115="","",IFERROR(LOOKUP(2,1/(A$4:A114=A115),F$4:F114),0)+IF(ISNUMBER(C115),C115,0)-IF(ISNUMBER(E115),E115,0))</f>
        <v>22</v>
      </c>
      <c r="G115" s="11">
        <f>IF(A115="","",IF(IF(ISNUMBER(C115),C115,0)=0,IFERROR(LOOKUP(2,1/(A$4:A114=A115),G$4:G114),IF(ISNUMBER(D115),D115,"")),IF(IFERROR(LOOKUP(2,1/(A$4:A114=A115),F$4:F114),0)&lt;=0,D115,(MAX(0,IFERROR(LOOKUP(2,1/(A$4:A114=A115),F$4:F114),0))*IFERROR(LOOKUP(2,1/(A$4:A114=A115),G$4:G114),0)+C115*D115)/(MAX(0,IFERROR(LOOKUP(2,1/(A$4:A114=A115),F$4:F114),0))+C115))))</f>
        <v>94.245514951176318</v>
      </c>
      <c r="I115" s="7"/>
    </row>
    <row r="116" spans="1:9" x14ac:dyDescent="0.4">
      <c r="A116" s="4" t="s">
        <v>5</v>
      </c>
      <c r="B116" s="5">
        <v>46113</v>
      </c>
      <c r="C116" s="6">
        <v>219</v>
      </c>
      <c r="D116" s="7">
        <v>111.7</v>
      </c>
      <c r="E116" s="6">
        <v>214</v>
      </c>
      <c r="F116" s="6">
        <f>IF(A116="","",IFERROR(LOOKUP(2,1/(A$4:A115=A116),F$4:F115),0)+IF(ISNUMBER(C116),C116,0)-IF(ISNUMBER(E116),E116,0))</f>
        <v>27</v>
      </c>
      <c r="G116" s="11">
        <f>IF(A116="","",IF(IF(ISNUMBER(C116),C116,0)=0,IFERROR(LOOKUP(2,1/(A$4:A115=A116),G$4:G115),IF(ISNUMBER(D116),D116,"")),IF(IFERROR(LOOKUP(2,1/(A$4:A115=A116),F$4:F115),0)&lt;=0,D116,(MAX(0,IFERROR(LOOKUP(2,1/(A$4:A115=A116),F$4:F115),0))*IFERROR(LOOKUP(2,1/(A$4:A115=A116),G$4:G115),0)+C116*D116)/(MAX(0,IFERROR(LOOKUP(2,1/(A$4:A115=A116),F$4:F115),0))+C116))))</f>
        <v>110.10664451836465</v>
      </c>
      <c r="I116" s="7"/>
    </row>
    <row r="117" spans="1:9" x14ac:dyDescent="0.4">
      <c r="A117" s="4" t="s">
        <v>5</v>
      </c>
      <c r="B117" s="5">
        <v>46113</v>
      </c>
      <c r="C117" s="6"/>
      <c r="D117" s="7">
        <v>94.25</v>
      </c>
      <c r="E117" s="6">
        <v>22</v>
      </c>
      <c r="F117" s="6">
        <f>IF(A117="","",IFERROR(LOOKUP(2,1/(A$4:A116=A117),F$4:F116),0)+IF(ISNUMBER(C117),C117,0)-IF(ISNUMBER(E117),E117,0))</f>
        <v>5</v>
      </c>
      <c r="G117" s="11">
        <f>IF(A117="","",IF(IF(ISNUMBER(C117),C117,0)=0,IFERROR(LOOKUP(2,1/(A$4:A116=A117),G$4:G116),IF(ISNUMBER(D117),D117,"")),IF(IFERROR(LOOKUP(2,1/(A$4:A116=A117),F$4:F116),0)&lt;=0,D117,(MAX(0,IFERROR(LOOKUP(2,1/(A$4:A116=A117),F$4:F116),0))*IFERROR(LOOKUP(2,1/(A$4:A116=A117),G$4:G116),0)+C117*D117)/(MAX(0,IFERROR(LOOKUP(2,1/(A$4:A116=A117),F$4:F116),0))+C117))))</f>
        <v>110.10664451836465</v>
      </c>
      <c r="I117" s="7"/>
    </row>
    <row r="118" spans="1:9" x14ac:dyDescent="0.4">
      <c r="A118" s="4" t="s">
        <v>5</v>
      </c>
      <c r="B118" s="5">
        <v>46143</v>
      </c>
      <c r="C118" s="6"/>
      <c r="D118" s="7">
        <v>110.11</v>
      </c>
      <c r="E118" s="6">
        <v>5</v>
      </c>
      <c r="F118" s="6">
        <f>IF(A118="","",IFERROR(LOOKUP(2,1/(A$4:A117=A118),F$4:F117),0)+IF(ISNUMBER(C118),C118,0)-IF(ISNUMBER(E118),E118,0))</f>
        <v>0</v>
      </c>
      <c r="G118" s="11">
        <f>IF(A118="","",IF(IF(ISNUMBER(C118),C118,0)=0,IFERROR(LOOKUP(2,1/(A$4:A117=A118),G$4:G117),IF(ISNUMBER(D118),D118,"")),IF(IFERROR(LOOKUP(2,1/(A$4:A117=A118),F$4:F117),0)&lt;=0,D118,(MAX(0,IFERROR(LOOKUP(2,1/(A$4:A117=A118),F$4:F117),0))*IFERROR(LOOKUP(2,1/(A$4:A117=A118),G$4:G117),0)+C118*D118)/(MAX(0,IFERROR(LOOKUP(2,1/(A$4:A117=A118),F$4:F117),0))+C118))))</f>
        <v>110.10664451836465</v>
      </c>
      <c r="I118" s="7"/>
    </row>
    <row r="119" spans="1:9" x14ac:dyDescent="0.4">
      <c r="A119" s="4" t="s">
        <v>5</v>
      </c>
      <c r="B119" s="5">
        <v>46174</v>
      </c>
      <c r="C119" s="6">
        <v>500</v>
      </c>
      <c r="D119" s="7">
        <v>93.8</v>
      </c>
      <c r="E119" s="6"/>
      <c r="F119" s="6">
        <f>IF(A119="","",IFERROR(LOOKUP(2,1/(A$4:A118=A119),F$4:F118),0)+IF(ISNUMBER(C119),C119,0)-IF(ISNUMBER(E119),E119,0))</f>
        <v>500</v>
      </c>
      <c r="G119" s="11">
        <f>IF(A119="","",IF(IF(ISNUMBER(C119),C119,0)=0,IFERROR(LOOKUP(2,1/(A$4:A118=A119),G$4:G118),IF(ISNUMBER(D119),D119,"")),IF(IFERROR(LOOKUP(2,1/(A$4:A118=A119),F$4:F118),0)&lt;=0,D119,(MAX(0,IFERROR(LOOKUP(2,1/(A$4:A118=A119),F$4:F118),0))*IFERROR(LOOKUP(2,1/(A$4:A118=A119),G$4:G118),0)+C119*D119)/(MAX(0,IFERROR(LOOKUP(2,1/(A$4:A118=A119),F$4:F118),0))+C119))))</f>
        <v>93.8</v>
      </c>
      <c r="I119" s="7"/>
    </row>
    <row r="120" spans="1:9" x14ac:dyDescent="0.4">
      <c r="A120" s="4" t="s">
        <v>5</v>
      </c>
      <c r="B120" s="5">
        <v>46174</v>
      </c>
      <c r="C120" s="6"/>
      <c r="D120" s="7">
        <v>93.8</v>
      </c>
      <c r="E120" s="6"/>
      <c r="F120" s="6">
        <f>IF(A120="","",IFERROR(LOOKUP(2,1/(A$4:A119=A120),F$4:F119),0)+IF(ISNUMBER(C120),C120,0)-IF(ISNUMBER(E120),E120,0))</f>
        <v>500</v>
      </c>
      <c r="G120" s="11">
        <f>IF(A120="","",IF(IF(ISNUMBER(C120),C120,0)=0,IFERROR(LOOKUP(2,1/(A$4:A119=A120),G$4:G119),IF(ISNUMBER(D120),D120,"")),IF(IFERROR(LOOKUP(2,1/(A$4:A119=A120),F$4:F119),0)&lt;=0,D120,(MAX(0,IFERROR(LOOKUP(2,1/(A$4:A119=A120),F$4:F119),0))*IFERROR(LOOKUP(2,1/(A$4:A119=A120),G$4:G119),0)+C120*D120)/(MAX(0,IFERROR(LOOKUP(2,1/(A$4:A119=A120),F$4:F119),0))+C120))))</f>
        <v>93.8</v>
      </c>
      <c r="I120" s="7"/>
    </row>
    <row r="121" spans="1:9" x14ac:dyDescent="0.4">
      <c r="A121" s="4" t="s">
        <v>5</v>
      </c>
      <c r="B121" s="5">
        <v>46204</v>
      </c>
      <c r="C121" s="6"/>
      <c r="D121" s="7">
        <v>93.8</v>
      </c>
      <c r="E121" s="6">
        <v>35</v>
      </c>
      <c r="F121" s="6">
        <f>IF(A121="","",IFERROR(LOOKUP(2,1/(A$4:A120=A121),F$4:F120),0)+IF(ISNUMBER(C121),C121,0)-IF(ISNUMBER(E121),E121,0))</f>
        <v>465</v>
      </c>
      <c r="G121" s="11">
        <f>IF(A121="","",IF(IF(ISNUMBER(C121),C121,0)=0,IFERROR(LOOKUP(2,1/(A$4:A120=A121),G$4:G120),IF(ISNUMBER(D121),D121,"")),IF(IFERROR(LOOKUP(2,1/(A$4:A120=A121),F$4:F120),0)&lt;=0,D121,(MAX(0,IFERROR(LOOKUP(2,1/(A$4:A120=A121),F$4:F120),0))*IFERROR(LOOKUP(2,1/(A$4:A120=A121),G$4:G120),0)+C121*D121)/(MAX(0,IFERROR(LOOKUP(2,1/(A$4:A120=A121),F$4:F120),0))+C121))))</f>
        <v>93.8</v>
      </c>
      <c r="I121" s="7"/>
    </row>
    <row r="122" spans="1:9" x14ac:dyDescent="0.4">
      <c r="A122" s="4" t="s">
        <v>5</v>
      </c>
      <c r="B122" s="5">
        <v>46235</v>
      </c>
      <c r="C122" s="6">
        <v>500</v>
      </c>
      <c r="D122" s="7">
        <v>117.8</v>
      </c>
      <c r="E122" s="6"/>
      <c r="F122" s="6">
        <f>IF(A122="","",IFERROR(LOOKUP(2,1/(A$4:A121=A122),F$4:F121),0)+IF(ISNUMBER(C122),C122,0)-IF(ISNUMBER(E122),E122,0))</f>
        <v>965</v>
      </c>
      <c r="G122" s="11">
        <f>IF(A122="","",IF(IF(ISNUMBER(C122),C122,0)=0,IFERROR(LOOKUP(2,1/(A$4:A121=A122),G$4:G121),IF(ISNUMBER(D122),D122,"")),IF(IFERROR(LOOKUP(2,1/(A$4:A121=A122),F$4:F121),0)&lt;=0,D122,(MAX(0,IFERROR(LOOKUP(2,1/(A$4:A121=A122),F$4:F121),0))*IFERROR(LOOKUP(2,1/(A$4:A121=A122),G$4:G121),0)+C122*D122)/(MAX(0,IFERROR(LOOKUP(2,1/(A$4:A121=A122),F$4:F121),0))+C122))))</f>
        <v>106.23523316062176</v>
      </c>
      <c r="I122" s="7"/>
    </row>
    <row r="123" spans="1:9" x14ac:dyDescent="0.4">
      <c r="A123" s="4" t="s">
        <v>5</v>
      </c>
      <c r="B123" s="5">
        <v>46235</v>
      </c>
      <c r="C123" s="6"/>
      <c r="D123" s="7">
        <v>93.8</v>
      </c>
      <c r="E123" s="6">
        <v>312</v>
      </c>
      <c r="F123" s="6">
        <f>IF(A123="","",IFERROR(LOOKUP(2,1/(A$4:A122=A123),F$4:F122),0)+IF(ISNUMBER(C123),C123,0)-IF(ISNUMBER(E123),E123,0))</f>
        <v>653</v>
      </c>
      <c r="G123" s="11">
        <f>IF(A123="","",IF(IF(ISNUMBER(C123),C123,0)=0,IFERROR(LOOKUP(2,1/(A$4:A122=A123),G$4:G122),IF(ISNUMBER(D123),D123,"")),IF(IFERROR(LOOKUP(2,1/(A$4:A122=A123),F$4:F122),0)&lt;=0,D123,(MAX(0,IFERROR(LOOKUP(2,1/(A$4:A122=A123),F$4:F122),0))*IFERROR(LOOKUP(2,1/(A$4:A122=A123),G$4:G122),0)+C123*D123)/(MAX(0,IFERROR(LOOKUP(2,1/(A$4:A122=A123),F$4:F122),0))+C123))))</f>
        <v>106.23523316062176</v>
      </c>
      <c r="I123" s="7"/>
    </row>
    <row r="124" spans="1:9" x14ac:dyDescent="0.4">
      <c r="A124" s="4" t="s">
        <v>5</v>
      </c>
      <c r="B124" s="5">
        <v>46266</v>
      </c>
      <c r="C124" s="6"/>
      <c r="D124" s="7">
        <v>106.24</v>
      </c>
      <c r="E124" s="6">
        <v>20</v>
      </c>
      <c r="F124" s="6">
        <f>IF(A124="","",IFERROR(LOOKUP(2,1/(A$4:A123=A124),F$4:F123),0)+IF(ISNUMBER(C124),C124,0)-IF(ISNUMBER(E124),E124,0))</f>
        <v>633</v>
      </c>
      <c r="G124" s="11">
        <f>IF(A124="","",IF(IF(ISNUMBER(C124),C124,0)=0,IFERROR(LOOKUP(2,1/(A$4:A123=A124),G$4:G123),IF(ISNUMBER(D124),D124,"")),IF(IFERROR(LOOKUP(2,1/(A$4:A123=A124),F$4:F123),0)&lt;=0,D124,(MAX(0,IFERROR(LOOKUP(2,1/(A$4:A123=A124),F$4:F123),0))*IFERROR(LOOKUP(2,1/(A$4:A123=A124),G$4:G123),0)+C124*D124)/(MAX(0,IFERROR(LOOKUP(2,1/(A$4:A123=A124),F$4:F123),0))+C124))))</f>
        <v>106.23523316062176</v>
      </c>
      <c r="I124" s="7"/>
    </row>
    <row r="125" spans="1:9" x14ac:dyDescent="0.4">
      <c r="A125" s="4" t="s">
        <v>5</v>
      </c>
      <c r="B125" s="5">
        <v>46266</v>
      </c>
      <c r="C125" s="6">
        <v>300</v>
      </c>
      <c r="D125" s="7">
        <v>117.4</v>
      </c>
      <c r="E125" s="6"/>
      <c r="F125" s="6">
        <f>IF(A125="","",IFERROR(LOOKUP(2,1/(A$4:A124=A125),F$4:F124),0)+IF(ISNUMBER(C125),C125,0)-IF(ISNUMBER(E125),E125,0))</f>
        <v>933</v>
      </c>
      <c r="G125" s="11">
        <f>IF(A125="","",IF(IF(ISNUMBER(C125),C125,0)=0,IFERROR(LOOKUP(2,1/(A$4:A124=A125),G$4:G124),IF(ISNUMBER(D125),D125,"")),IF(IFERROR(LOOKUP(2,1/(A$4:A124=A125),F$4:F124),0)&lt;=0,D125,(MAX(0,IFERROR(LOOKUP(2,1/(A$4:A124=A125),F$4:F124),0))*IFERROR(LOOKUP(2,1/(A$4:A124=A125),G$4:G124),0)+C125*D125)/(MAX(0,IFERROR(LOOKUP(2,1/(A$4:A124=A125),F$4:F124),0))+C125))))</f>
        <v>109.82519034370158</v>
      </c>
      <c r="I125" s="7"/>
    </row>
    <row r="126" spans="1:9" x14ac:dyDescent="0.4">
      <c r="A126" s="4" t="s">
        <v>5</v>
      </c>
      <c r="B126" s="5">
        <v>46296</v>
      </c>
      <c r="C126" s="6"/>
      <c r="D126" s="7">
        <v>109.75</v>
      </c>
      <c r="E126" s="6">
        <v>105</v>
      </c>
      <c r="F126" s="6">
        <f>IF(A126="","",IFERROR(LOOKUP(2,1/(A$4:A125=A126),F$4:F125),0)+IF(ISNUMBER(C126),C126,0)-IF(ISNUMBER(E126),E126,0))</f>
        <v>828</v>
      </c>
      <c r="G126" s="11">
        <f>IF(A126="","",IF(IF(ISNUMBER(C126),C126,0)=0,IFERROR(LOOKUP(2,1/(A$4:A125=A126),G$4:G125),IF(ISNUMBER(D126),D126,"")),IF(IFERROR(LOOKUP(2,1/(A$4:A125=A126),F$4:F125),0)&lt;=0,D126,(MAX(0,IFERROR(LOOKUP(2,1/(A$4:A125=A126),F$4:F125),0))*IFERROR(LOOKUP(2,1/(A$4:A125=A126),G$4:G125),0)+C126*D126)/(MAX(0,IFERROR(LOOKUP(2,1/(A$4:A125=A126),F$4:F125),0))+C126))))</f>
        <v>109.82519034370158</v>
      </c>
      <c r="I126" s="7"/>
    </row>
    <row r="127" spans="1:9" x14ac:dyDescent="0.4">
      <c r="A127" s="4" t="s">
        <v>5</v>
      </c>
      <c r="B127" s="5">
        <v>46419</v>
      </c>
      <c r="C127" s="6"/>
      <c r="D127" s="7">
        <v>94.2</v>
      </c>
      <c r="E127" s="6"/>
      <c r="F127" s="6">
        <f>IF(A127="","",IFERROR(LOOKUP(2,1/(A$4:A126=A127),F$4:F126),0)+IF(ISNUMBER(C127),C127,0)-IF(ISNUMBER(E127),E127,0))</f>
        <v>828</v>
      </c>
      <c r="G127" s="11">
        <f>IF(A127="","",IF(IF(ISNUMBER(C127),C127,0)=0,IFERROR(LOOKUP(2,1/(A$4:A126=A127),G$4:G126),IF(ISNUMBER(D127),D127,"")),IF(IFERROR(LOOKUP(2,1/(A$4:A126=A127),F$4:F126),0)&lt;=0,D127,(MAX(0,IFERROR(LOOKUP(2,1/(A$4:A126=A127),F$4:F126),0))*IFERROR(LOOKUP(2,1/(A$4:A126=A127),G$4:G126),0)+C127*D127)/(MAX(0,IFERROR(LOOKUP(2,1/(A$4:A126=A127),F$4:F126),0))+C127))))</f>
        <v>109.82519034370158</v>
      </c>
      <c r="I127" s="7"/>
    </row>
    <row r="128" spans="1:9" x14ac:dyDescent="0.4">
      <c r="A128" s="4" t="s">
        <v>6</v>
      </c>
      <c r="B128" s="5">
        <v>45931</v>
      </c>
      <c r="C128" s="6"/>
      <c r="D128" s="7">
        <v>77.900000000000006</v>
      </c>
      <c r="E128" s="6"/>
      <c r="F128" s="6">
        <f>IF(A128="","",IFERROR(LOOKUP(2,1/(A$4:A127=A128),F$4:F127),0)+IF(ISNUMBER(C128),C128,0)-IF(ISNUMBER(E128),E128,0))</f>
        <v>0</v>
      </c>
      <c r="G128" s="11">
        <f>IF(A128="","",IF(IF(ISNUMBER(C128),C128,0)=0,IFERROR(LOOKUP(2,1/(A$4:A127=A128),G$4:G127),IF(ISNUMBER(D128),D128,"")),IF(IFERROR(LOOKUP(2,1/(A$4:A127=A128),F$4:F127),0)&lt;=0,D128,(MAX(0,IFERROR(LOOKUP(2,1/(A$4:A127=A128),F$4:F127),0))*IFERROR(LOOKUP(2,1/(A$4:A127=A128),G$4:G127),0)+C128*D128)/(MAX(0,IFERROR(LOOKUP(2,1/(A$4:A127=A128),F$4:F127),0))+C128))))</f>
        <v>77.900000000000006</v>
      </c>
      <c r="I128" s="7"/>
    </row>
    <row r="129" spans="1:9" x14ac:dyDescent="0.4">
      <c r="A129" s="4" t="s">
        <v>6</v>
      </c>
      <c r="B129" s="5">
        <v>45962</v>
      </c>
      <c r="C129" s="6"/>
      <c r="D129" s="7">
        <v>77.900000000000006</v>
      </c>
      <c r="E129" s="6"/>
      <c r="F129" s="6">
        <f>IF(A129="","",IFERROR(LOOKUP(2,1/(A$4:A128=A129),F$4:F128),0)+IF(ISNUMBER(C129),C129,0)-IF(ISNUMBER(E129),E129,0))</f>
        <v>0</v>
      </c>
      <c r="G129" s="11">
        <f>IF(A129="","",IF(IF(ISNUMBER(C129),C129,0)=0,IFERROR(LOOKUP(2,1/(A$4:A128=A129),G$4:G128),IF(ISNUMBER(D129),D129,"")),IF(IFERROR(LOOKUP(2,1/(A$4:A128=A129),F$4:F128),0)&lt;=0,D129,(MAX(0,IFERROR(LOOKUP(2,1/(A$4:A128=A129),F$4:F128),0))*IFERROR(LOOKUP(2,1/(A$4:A128=A129),G$4:G128),0)+C129*D129)/(MAX(0,IFERROR(LOOKUP(2,1/(A$4:A128=A129),F$4:F128),0))+C129))))</f>
        <v>77.900000000000006</v>
      </c>
      <c r="I129" s="7"/>
    </row>
    <row r="130" spans="1:9" x14ac:dyDescent="0.4">
      <c r="A130" s="4" t="s">
        <v>6</v>
      </c>
      <c r="B130" s="5">
        <v>45992</v>
      </c>
      <c r="C130" s="6"/>
      <c r="D130" s="7">
        <v>77.900000000000006</v>
      </c>
      <c r="E130" s="6"/>
      <c r="F130" s="6">
        <f>IF(A130="","",IFERROR(LOOKUP(2,1/(A$4:A129=A130),F$4:F129),0)+IF(ISNUMBER(C130),C130,0)-IF(ISNUMBER(E130),E130,0))</f>
        <v>0</v>
      </c>
      <c r="G130" s="11">
        <f>IF(A130="","",IF(IF(ISNUMBER(C130),C130,0)=0,IFERROR(LOOKUP(2,1/(A$4:A129=A130),G$4:G129),IF(ISNUMBER(D130),D130,"")),IF(IFERROR(LOOKUP(2,1/(A$4:A129=A130),F$4:F129),0)&lt;=0,D130,(MAX(0,IFERROR(LOOKUP(2,1/(A$4:A129=A130),F$4:F129),0))*IFERROR(LOOKUP(2,1/(A$4:A129=A130),G$4:G129),0)+C130*D130)/(MAX(0,IFERROR(LOOKUP(2,1/(A$4:A129=A130),F$4:F129),0))+C130))))</f>
        <v>77.900000000000006</v>
      </c>
      <c r="I130" s="7"/>
    </row>
    <row r="131" spans="1:9" x14ac:dyDescent="0.4">
      <c r="A131" s="4" t="s">
        <v>6</v>
      </c>
      <c r="B131" s="5">
        <v>46023</v>
      </c>
      <c r="C131" s="6"/>
      <c r="D131" s="7">
        <v>77.900000000000006</v>
      </c>
      <c r="E131" s="6"/>
      <c r="F131" s="6">
        <f>IF(A131="","",IFERROR(LOOKUP(2,1/(A$4:A130=A131),F$4:F130),0)+IF(ISNUMBER(C131),C131,0)-IF(ISNUMBER(E131),E131,0))</f>
        <v>0</v>
      </c>
      <c r="G131" s="11">
        <f>IF(A131="","",IF(IF(ISNUMBER(C131),C131,0)=0,IFERROR(LOOKUP(2,1/(A$4:A130=A131),G$4:G130),IF(ISNUMBER(D131),D131,"")),IF(IFERROR(LOOKUP(2,1/(A$4:A130=A131),F$4:F130),0)&lt;=0,D131,(MAX(0,IFERROR(LOOKUP(2,1/(A$4:A130=A131),F$4:F130),0))*IFERROR(LOOKUP(2,1/(A$4:A130=A131),G$4:G130),0)+C131*D131)/(MAX(0,IFERROR(LOOKUP(2,1/(A$4:A130=A131),F$4:F130),0))+C131))))</f>
        <v>77.900000000000006</v>
      </c>
      <c r="I131" s="7"/>
    </row>
    <row r="132" spans="1:9" x14ac:dyDescent="0.4">
      <c r="A132" s="4" t="s">
        <v>6</v>
      </c>
      <c r="B132" s="5">
        <v>46054</v>
      </c>
      <c r="C132" s="6"/>
      <c r="D132" s="7">
        <v>77.900000000000006</v>
      </c>
      <c r="E132" s="6"/>
      <c r="F132" s="6">
        <f>IF(A132="","",IFERROR(LOOKUP(2,1/(A$4:A131=A132),F$4:F131),0)+IF(ISNUMBER(C132),C132,0)-IF(ISNUMBER(E132),E132,0))</f>
        <v>0</v>
      </c>
      <c r="G132" s="11">
        <f>IF(A132="","",IF(IF(ISNUMBER(C132),C132,0)=0,IFERROR(LOOKUP(2,1/(A$4:A131=A132),G$4:G131),IF(ISNUMBER(D132),D132,"")),IF(IFERROR(LOOKUP(2,1/(A$4:A131=A132),F$4:F131),0)&lt;=0,D132,(MAX(0,IFERROR(LOOKUP(2,1/(A$4:A131=A132),F$4:F131),0))*IFERROR(LOOKUP(2,1/(A$4:A131=A132),G$4:G131),0)+C132*D132)/(MAX(0,IFERROR(LOOKUP(2,1/(A$4:A131=A132),F$4:F131),0))+C132))))</f>
        <v>77.900000000000006</v>
      </c>
      <c r="I132" s="7"/>
    </row>
    <row r="133" spans="1:9" x14ac:dyDescent="0.4">
      <c r="A133" s="4" t="s">
        <v>6</v>
      </c>
      <c r="B133" s="5">
        <v>46054</v>
      </c>
      <c r="C133" s="6"/>
      <c r="D133" s="7"/>
      <c r="E133" s="6"/>
      <c r="F133" s="6">
        <f>IF(A133="","",IFERROR(LOOKUP(2,1/(A$4:A132=A133),F$4:F132),0)+IF(ISNUMBER(C133),C133,0)-IF(ISNUMBER(E133),E133,0))</f>
        <v>0</v>
      </c>
      <c r="G133" s="11">
        <f>IF(A133="","",IF(IF(ISNUMBER(C133),C133,0)=0,IFERROR(LOOKUP(2,1/(A$4:A132=A133),G$4:G132),IF(ISNUMBER(D133),D133,"")),IF(IFERROR(LOOKUP(2,1/(A$4:A132=A133),F$4:F132),0)&lt;=0,D133,(MAX(0,IFERROR(LOOKUP(2,1/(A$4:A132=A133),F$4:F132),0))*IFERROR(LOOKUP(2,1/(A$4:A132=A133),G$4:G132),0)+C133*D133)/(MAX(0,IFERROR(LOOKUP(2,1/(A$4:A132=A133),F$4:F132),0))+C133))))</f>
        <v>77.900000000000006</v>
      </c>
      <c r="I133" s="7"/>
    </row>
    <row r="134" spans="1:9" x14ac:dyDescent="0.4">
      <c r="A134" s="4" t="s">
        <v>6</v>
      </c>
      <c r="B134" s="5">
        <v>46082</v>
      </c>
      <c r="C134" s="6"/>
      <c r="D134" s="7">
        <v>77.900000000000006</v>
      </c>
      <c r="E134" s="6"/>
      <c r="F134" s="6">
        <f>IF(A134="","",IFERROR(LOOKUP(2,1/(A$4:A133=A134),F$4:F133),0)+IF(ISNUMBER(C134),C134,0)-IF(ISNUMBER(E134),E134,0))</f>
        <v>0</v>
      </c>
      <c r="G134" s="11">
        <f>IF(A134="","",IF(IF(ISNUMBER(C134),C134,0)=0,IFERROR(LOOKUP(2,1/(A$4:A133=A134),G$4:G133),IF(ISNUMBER(D134),D134,"")),IF(IFERROR(LOOKUP(2,1/(A$4:A133=A134),F$4:F133),0)&lt;=0,D134,(MAX(0,IFERROR(LOOKUP(2,1/(A$4:A133=A134),F$4:F133),0))*IFERROR(LOOKUP(2,1/(A$4:A133=A134),G$4:G133),0)+C134*D134)/(MAX(0,IFERROR(LOOKUP(2,1/(A$4:A133=A134),F$4:F133),0))+C134))))</f>
        <v>77.900000000000006</v>
      </c>
      <c r="I134" s="7"/>
    </row>
    <row r="135" spans="1:9" x14ac:dyDescent="0.4">
      <c r="A135" s="4" t="s">
        <v>6</v>
      </c>
      <c r="B135" s="5">
        <v>46113</v>
      </c>
      <c r="C135" s="6"/>
      <c r="D135" s="7">
        <v>77.900000000000006</v>
      </c>
      <c r="E135" s="6"/>
      <c r="F135" s="6">
        <f>IF(A135="","",IFERROR(LOOKUP(2,1/(A$4:A134=A135),F$4:F134),0)+IF(ISNUMBER(C135),C135,0)-IF(ISNUMBER(E135),E135,0))</f>
        <v>0</v>
      </c>
      <c r="G135" s="11">
        <f>IF(A135="","",IF(IF(ISNUMBER(C135),C135,0)=0,IFERROR(LOOKUP(2,1/(A$4:A134=A135),G$4:G134),IF(ISNUMBER(D135),D135,"")),IF(IFERROR(LOOKUP(2,1/(A$4:A134=A135),F$4:F134),0)&lt;=0,D135,(MAX(0,IFERROR(LOOKUP(2,1/(A$4:A134=A135),F$4:F134),0))*IFERROR(LOOKUP(2,1/(A$4:A134=A135),G$4:G134),0)+C135*D135)/(MAX(0,IFERROR(LOOKUP(2,1/(A$4:A134=A135),F$4:F134),0))+C135))))</f>
        <v>77.900000000000006</v>
      </c>
      <c r="I135" s="7"/>
    </row>
    <row r="136" spans="1:9" x14ac:dyDescent="0.4">
      <c r="A136" s="4" t="s">
        <v>6</v>
      </c>
      <c r="B136" s="5">
        <v>46143</v>
      </c>
      <c r="C136" s="6">
        <v>500</v>
      </c>
      <c r="D136" s="7">
        <v>93.1</v>
      </c>
      <c r="E136" s="6">
        <v>55</v>
      </c>
      <c r="F136" s="6">
        <f>IF(A136="","",IFERROR(LOOKUP(2,1/(A$4:A135=A136),F$4:F135),0)+IF(ISNUMBER(C136),C136,0)-IF(ISNUMBER(E136),E136,0))</f>
        <v>445</v>
      </c>
      <c r="G136" s="11">
        <f>IF(A136="","",IF(IF(ISNUMBER(C136),C136,0)=0,IFERROR(LOOKUP(2,1/(A$4:A135=A136),G$4:G135),IF(ISNUMBER(D136),D136,"")),IF(IFERROR(LOOKUP(2,1/(A$4:A135=A136),F$4:F135),0)&lt;=0,D136,(MAX(0,IFERROR(LOOKUP(2,1/(A$4:A135=A136),F$4:F135),0))*IFERROR(LOOKUP(2,1/(A$4:A135=A136),G$4:G135),0)+C136*D136)/(MAX(0,IFERROR(LOOKUP(2,1/(A$4:A135=A136),F$4:F135),0))+C136))))</f>
        <v>93.1</v>
      </c>
      <c r="I136" s="7"/>
    </row>
    <row r="137" spans="1:9" x14ac:dyDescent="0.4">
      <c r="A137" s="4" t="s">
        <v>6</v>
      </c>
      <c r="B137" s="5">
        <v>46143</v>
      </c>
      <c r="C137" s="6"/>
      <c r="D137" s="7">
        <v>93.1</v>
      </c>
      <c r="E137" s="6"/>
      <c r="F137" s="6">
        <f>IF(A137="","",IFERROR(LOOKUP(2,1/(A$4:A136=A137),F$4:F136),0)+IF(ISNUMBER(C137),C137,0)-IF(ISNUMBER(E137),E137,0))</f>
        <v>445</v>
      </c>
      <c r="G137" s="11">
        <f>IF(A137="","",IF(IF(ISNUMBER(C137),C137,0)=0,IFERROR(LOOKUP(2,1/(A$4:A136=A137),G$4:G136),IF(ISNUMBER(D137),D137,"")),IF(IFERROR(LOOKUP(2,1/(A$4:A136=A137),F$4:F136),0)&lt;=0,D137,(MAX(0,IFERROR(LOOKUP(2,1/(A$4:A136=A137),F$4:F136),0))*IFERROR(LOOKUP(2,1/(A$4:A136=A137),G$4:G136),0)+C137*D137)/(MAX(0,IFERROR(LOOKUP(2,1/(A$4:A136=A137),F$4:F136),0))+C137))))</f>
        <v>93.1</v>
      </c>
      <c r="I137" s="7"/>
    </row>
    <row r="138" spans="1:9" x14ac:dyDescent="0.4">
      <c r="A138" s="4" t="s">
        <v>6</v>
      </c>
      <c r="B138" s="5">
        <v>46174</v>
      </c>
      <c r="C138" s="6">
        <v>500</v>
      </c>
      <c r="D138" s="7">
        <v>96.3</v>
      </c>
      <c r="E138" s="6">
        <v>61</v>
      </c>
      <c r="F138" s="6">
        <f>IF(A138="","",IFERROR(LOOKUP(2,1/(A$4:A137=A138),F$4:F137),0)+IF(ISNUMBER(C138),C138,0)-IF(ISNUMBER(E138),E138,0))</f>
        <v>884</v>
      </c>
      <c r="G138" s="11">
        <f>IF(A138="","",IF(IF(ISNUMBER(C138),C138,0)=0,IFERROR(LOOKUP(2,1/(A$4:A137=A138),G$4:G137),IF(ISNUMBER(D138),D138,"")),IF(IFERROR(LOOKUP(2,1/(A$4:A137=A138),F$4:F137),0)&lt;=0,D138,(MAX(0,IFERROR(LOOKUP(2,1/(A$4:A137=A138),F$4:F137),0))*IFERROR(LOOKUP(2,1/(A$4:A137=A138),G$4:G137),0)+C138*D138)/(MAX(0,IFERROR(LOOKUP(2,1/(A$4:A137=A138),F$4:F137),0))+C138))))</f>
        <v>94.793121693121691</v>
      </c>
      <c r="I138" s="7"/>
    </row>
    <row r="139" spans="1:9" x14ac:dyDescent="0.4">
      <c r="A139" s="4" t="s">
        <v>6</v>
      </c>
      <c r="B139" s="5">
        <v>46143</v>
      </c>
      <c r="C139" s="6"/>
      <c r="D139" s="7">
        <v>93.1</v>
      </c>
      <c r="E139" s="6">
        <v>445</v>
      </c>
      <c r="F139" s="6">
        <f>IF(A139="","",IFERROR(LOOKUP(2,1/(A$4:A138=A139),F$4:F138),0)+IF(ISNUMBER(C139),C139,0)-IF(ISNUMBER(E139),E139,0))</f>
        <v>439</v>
      </c>
      <c r="G139" s="11">
        <f>IF(A139="","",IF(IF(ISNUMBER(C139),C139,0)=0,IFERROR(LOOKUP(2,1/(A$4:A138=A139),G$4:G138),IF(ISNUMBER(D139),D139,"")),IF(IFERROR(LOOKUP(2,1/(A$4:A138=A139),F$4:F138),0)&lt;=0,D139,(MAX(0,IFERROR(LOOKUP(2,1/(A$4:A138=A139),F$4:F138),0))*IFERROR(LOOKUP(2,1/(A$4:A138=A139),G$4:G138),0)+C139*D139)/(MAX(0,IFERROR(LOOKUP(2,1/(A$4:A138=A139),F$4:F138),0))+C139))))</f>
        <v>94.793121693121691</v>
      </c>
      <c r="I139" s="7"/>
    </row>
    <row r="140" spans="1:9" x14ac:dyDescent="0.4">
      <c r="A140" s="4" t="s">
        <v>6</v>
      </c>
      <c r="B140" s="5">
        <v>46204</v>
      </c>
      <c r="C140" s="6"/>
      <c r="D140" s="7">
        <v>94.79</v>
      </c>
      <c r="E140" s="6">
        <v>434</v>
      </c>
      <c r="F140" s="6">
        <f>IF(A140="","",IFERROR(LOOKUP(2,1/(A$4:A139=A140),F$4:F139),0)+IF(ISNUMBER(C140),C140,0)-IF(ISNUMBER(E140),E140,0))</f>
        <v>5</v>
      </c>
      <c r="G140" s="11">
        <f>IF(A140="","",IF(IF(ISNUMBER(C140),C140,0)=0,IFERROR(LOOKUP(2,1/(A$4:A139=A140),G$4:G139),IF(ISNUMBER(D140),D140,"")),IF(IFERROR(LOOKUP(2,1/(A$4:A139=A140),F$4:F139),0)&lt;=0,D140,(MAX(0,IFERROR(LOOKUP(2,1/(A$4:A139=A140),F$4:F139),0))*IFERROR(LOOKUP(2,1/(A$4:A139=A140),G$4:G139),0)+C140*D140)/(MAX(0,IFERROR(LOOKUP(2,1/(A$4:A139=A140),F$4:F139),0))+C140))))</f>
        <v>94.793121693121691</v>
      </c>
      <c r="I140" s="7"/>
    </row>
    <row r="141" spans="1:9" x14ac:dyDescent="0.4">
      <c r="A141" s="4" t="s">
        <v>6</v>
      </c>
      <c r="B141" s="5">
        <v>46235</v>
      </c>
      <c r="C141" s="6"/>
      <c r="D141" s="7">
        <v>94.79</v>
      </c>
      <c r="E141" s="6"/>
      <c r="F141" s="6">
        <f>IF(A141="","",IFERROR(LOOKUP(2,1/(A$4:A140=A141),F$4:F140),0)+IF(ISNUMBER(C141),C141,0)-IF(ISNUMBER(E141),E141,0))</f>
        <v>5</v>
      </c>
      <c r="G141" s="11">
        <f>IF(A141="","",IF(IF(ISNUMBER(C141),C141,0)=0,IFERROR(LOOKUP(2,1/(A$4:A140=A141),G$4:G140),IF(ISNUMBER(D141),D141,"")),IF(IFERROR(LOOKUP(2,1/(A$4:A140=A141),F$4:F140),0)&lt;=0,D141,(MAX(0,IFERROR(LOOKUP(2,1/(A$4:A140=A141),F$4:F140),0))*IFERROR(LOOKUP(2,1/(A$4:A140=A141),G$4:G140),0)+C141*D141)/(MAX(0,IFERROR(LOOKUP(2,1/(A$4:A140=A141),F$4:F140),0))+C141))))</f>
        <v>94.793121693121691</v>
      </c>
      <c r="I141" s="7"/>
    </row>
    <row r="142" spans="1:9" x14ac:dyDescent="0.4">
      <c r="A142" s="4" t="s">
        <v>6</v>
      </c>
      <c r="B142" s="5">
        <v>46266</v>
      </c>
      <c r="C142" s="6"/>
      <c r="D142" s="7">
        <v>94.79</v>
      </c>
      <c r="E142" s="6">
        <v>310</v>
      </c>
      <c r="F142" s="6">
        <f>IF(A142="","",IFERROR(LOOKUP(2,1/(A$4:A141=A142),F$4:F141),0)+IF(ISNUMBER(C142),C142,0)-IF(ISNUMBER(E142),E142,0))</f>
        <v>-305</v>
      </c>
      <c r="G142" s="11">
        <f>IF(A142="","",IF(IF(ISNUMBER(C142),C142,0)=0,IFERROR(LOOKUP(2,1/(A$4:A141=A142),G$4:G141),IF(ISNUMBER(D142),D142,"")),IF(IFERROR(LOOKUP(2,1/(A$4:A141=A142),F$4:F141),0)&lt;=0,D142,(MAX(0,IFERROR(LOOKUP(2,1/(A$4:A141=A142),F$4:F141),0))*IFERROR(LOOKUP(2,1/(A$4:A141=A142),G$4:G141),0)+C142*D142)/(MAX(0,IFERROR(LOOKUP(2,1/(A$4:A141=A142),F$4:F141),0))+C142))))</f>
        <v>94.793121693121691</v>
      </c>
      <c r="I142" s="7"/>
    </row>
    <row r="143" spans="1:9" x14ac:dyDescent="0.4">
      <c r="A143" s="4" t="s">
        <v>6</v>
      </c>
      <c r="B143" s="5">
        <v>46296</v>
      </c>
      <c r="C143" s="6"/>
      <c r="D143" s="7">
        <v>94.79</v>
      </c>
      <c r="E143" s="6">
        <v>150</v>
      </c>
      <c r="F143" s="6">
        <f>IF(A143="","",IFERROR(LOOKUP(2,1/(A$4:A142=A143),F$4:F142),0)+IF(ISNUMBER(C143),C143,0)-IF(ISNUMBER(E143),E143,0))</f>
        <v>-455</v>
      </c>
      <c r="G143" s="11">
        <f>IF(A143="","",IF(IF(ISNUMBER(C143),C143,0)=0,IFERROR(LOOKUP(2,1/(A$4:A142=A143),G$4:G142),IF(ISNUMBER(D143),D143,"")),IF(IFERROR(LOOKUP(2,1/(A$4:A142=A143),F$4:F142),0)&lt;=0,D143,(MAX(0,IFERROR(LOOKUP(2,1/(A$4:A142=A143),F$4:F142),0))*IFERROR(LOOKUP(2,1/(A$4:A142=A143),G$4:G142),0)+C143*D143)/(MAX(0,IFERROR(LOOKUP(2,1/(A$4:A142=A143),F$4:F142),0))+C143))))</f>
        <v>94.793121693121691</v>
      </c>
      <c r="I143" s="7"/>
    </row>
    <row r="144" spans="1:9" x14ac:dyDescent="0.4">
      <c r="A144" s="4"/>
      <c r="B144" s="5"/>
      <c r="C144" s="6"/>
      <c r="D144" s="7"/>
      <c r="E144" s="6"/>
      <c r="F144" s="6" t="str">
        <f>IF(A144="","",IFERROR(LOOKUP(2,1/(A$4:A143=A144),F$4:F143),0)+IF(ISNUMBER(C144),C144,0)-IF(ISNUMBER(E144),E144,0))</f>
        <v/>
      </c>
      <c r="G144" s="11" t="str">
        <f>IF(A144="","",IF(IF(ISNUMBER(C144),C144,0)=0,IFERROR(LOOKUP(2,1/(A$4:A143=A144),G$4:G143),IF(ISNUMBER(D144),D144,"")),IF(IFERROR(LOOKUP(2,1/(A$4:A143=A144),F$4:F143),0)&lt;=0,D144,(MAX(0,IFERROR(LOOKUP(2,1/(A$4:A143=A144),F$4:F143),0))*IFERROR(LOOKUP(2,1/(A$4:A143=A144),G$4:G143),0)+C144*D144)/(MAX(0,IFERROR(LOOKUP(2,1/(A$4:A143=A144),F$4:F143),0))+C144))))</f>
        <v/>
      </c>
      <c r="I144" s="7"/>
    </row>
    <row r="145" spans="1:9" x14ac:dyDescent="0.4">
      <c r="A145" s="4"/>
      <c r="B145" s="5"/>
      <c r="C145" s="6"/>
      <c r="D145" s="7"/>
      <c r="E145" s="6"/>
      <c r="F145" s="6" t="str">
        <f>IF(A145="","",IFERROR(LOOKUP(2,1/(A$4:A144=A145),F$4:F144),0)+IF(ISNUMBER(C145),C145,0)-IF(ISNUMBER(E145),E145,0))</f>
        <v/>
      </c>
      <c r="G145" s="11" t="str">
        <f>IF(A145="","",IF(IF(ISNUMBER(C145),C145,0)=0,IFERROR(LOOKUP(2,1/(A$4:A144=A145),G$4:G144),IF(ISNUMBER(D145),D145,"")),IF(IFERROR(LOOKUP(2,1/(A$4:A144=A145),F$4:F144),0)&lt;=0,D145,(MAX(0,IFERROR(LOOKUP(2,1/(A$4:A144=A145),F$4:F144),0))*IFERROR(LOOKUP(2,1/(A$4:A144=A145),G$4:G144),0)+C145*D145)/(MAX(0,IFERROR(LOOKUP(2,1/(A$4:A144=A145),F$4:F144),0))+C145))))</f>
        <v/>
      </c>
      <c r="I145" s="7"/>
    </row>
    <row r="146" spans="1:9" x14ac:dyDescent="0.4">
      <c r="A146" s="4"/>
      <c r="B146" s="5"/>
      <c r="C146" s="6"/>
      <c r="D146" s="7"/>
      <c r="E146" s="6"/>
      <c r="F146" s="6" t="str">
        <f>IF(A146="","",IFERROR(LOOKUP(2,1/(A$4:A145=A146),F$4:F145),0)+IF(ISNUMBER(C146),C146,0)-IF(ISNUMBER(E146),E146,0))</f>
        <v/>
      </c>
      <c r="G146" s="11" t="str">
        <f>IF(A146="","",IF(IF(ISNUMBER(C146),C146,0)=0,IFERROR(LOOKUP(2,1/(A$4:A145=A146),G$4:G145),IF(ISNUMBER(D146),D146,"")),IF(IFERROR(LOOKUP(2,1/(A$4:A145=A146),F$4:F145),0)&lt;=0,D146,(MAX(0,IFERROR(LOOKUP(2,1/(A$4:A145=A146),F$4:F145),0))*IFERROR(LOOKUP(2,1/(A$4:A145=A146),G$4:G145),0)+C146*D146)/(MAX(0,IFERROR(LOOKUP(2,1/(A$4:A145=A146),F$4:F145),0))+C146))))</f>
        <v/>
      </c>
      <c r="I146" s="7"/>
    </row>
    <row r="147" spans="1:9" x14ac:dyDescent="0.4">
      <c r="A147" s="4"/>
      <c r="B147" s="5"/>
      <c r="C147" s="6"/>
      <c r="D147" s="7"/>
      <c r="E147" s="6"/>
      <c r="F147" s="6" t="str">
        <f>IF(A147="","",IFERROR(LOOKUP(2,1/(A$4:A146=A147),F$4:F146),0)+IF(ISNUMBER(C147),C147,0)-IF(ISNUMBER(E147),E147,0))</f>
        <v/>
      </c>
      <c r="G147" s="11" t="str">
        <f>IF(A147="","",IF(IF(ISNUMBER(C147),C147,0)=0,IFERROR(LOOKUP(2,1/(A$4:A146=A147),G$4:G146),IF(ISNUMBER(D147),D147,"")),IF(IFERROR(LOOKUP(2,1/(A$4:A146=A147),F$4:F146),0)&lt;=0,D147,(MAX(0,IFERROR(LOOKUP(2,1/(A$4:A146=A147),F$4:F146),0))*IFERROR(LOOKUP(2,1/(A$4:A146=A147),G$4:G146),0)+C147*D147)/(MAX(0,IFERROR(LOOKUP(2,1/(A$4:A146=A147),F$4:F146),0))+C147))))</f>
        <v/>
      </c>
      <c r="I147" s="7"/>
    </row>
    <row r="148" spans="1:9" x14ac:dyDescent="0.4">
      <c r="A148" s="4"/>
      <c r="B148" s="5"/>
      <c r="C148" s="6"/>
      <c r="D148" s="7"/>
      <c r="E148" s="6"/>
      <c r="F148" s="6" t="str">
        <f>IF(A148="","",IFERROR(LOOKUP(2,1/(A$4:A147=A148),F$4:F147),0)+IF(ISNUMBER(C148),C148,0)-IF(ISNUMBER(E148),E148,0))</f>
        <v/>
      </c>
      <c r="G148" s="11" t="str">
        <f>IF(A148="","",IF(IF(ISNUMBER(C148),C148,0)=0,IFERROR(LOOKUP(2,1/(A$4:A147=A148),G$4:G147),IF(ISNUMBER(D148),D148,"")),IF(IFERROR(LOOKUP(2,1/(A$4:A147=A148),F$4:F147),0)&lt;=0,D148,(MAX(0,IFERROR(LOOKUP(2,1/(A$4:A147=A148),F$4:F147),0))*IFERROR(LOOKUP(2,1/(A$4:A147=A148),G$4:G147),0)+C148*D148)/(MAX(0,IFERROR(LOOKUP(2,1/(A$4:A147=A148),F$4:F147),0))+C148))))</f>
        <v/>
      </c>
      <c r="I148" s="7"/>
    </row>
    <row r="149" spans="1:9" x14ac:dyDescent="0.4">
      <c r="A149" s="4"/>
      <c r="B149" s="5"/>
      <c r="C149" s="6"/>
      <c r="D149" s="7"/>
      <c r="E149" s="6"/>
      <c r="F149" s="6" t="str">
        <f>IF(A149="","",IFERROR(LOOKUP(2,1/(A$4:A148=A149),F$4:F148),0)+IF(ISNUMBER(C149),C149,0)-IF(ISNUMBER(E149),E149,0))</f>
        <v/>
      </c>
      <c r="G149" s="11" t="str">
        <f>IF(A149="","",IF(IF(ISNUMBER(C149),C149,0)=0,IFERROR(LOOKUP(2,1/(A$4:A148=A149),G$4:G148),IF(ISNUMBER(D149),D149,"")),IF(IFERROR(LOOKUP(2,1/(A$4:A148=A149),F$4:F148),0)&lt;=0,D149,(MAX(0,IFERROR(LOOKUP(2,1/(A$4:A148=A149),F$4:F148),0))*IFERROR(LOOKUP(2,1/(A$4:A148=A149),G$4:G148),0)+C149*D149)/(MAX(0,IFERROR(LOOKUP(2,1/(A$4:A148=A149),F$4:F148),0))+C149))))</f>
        <v/>
      </c>
      <c r="I149" s="7"/>
    </row>
    <row r="150" spans="1:9" x14ac:dyDescent="0.4">
      <c r="A150" s="4"/>
      <c r="B150" s="5"/>
      <c r="C150" s="6"/>
      <c r="D150" s="7"/>
      <c r="E150" s="6"/>
      <c r="F150" s="6" t="str">
        <f>IF(A150="","",IFERROR(LOOKUP(2,1/(A$4:A149=A150),F$4:F149),0)+IF(ISNUMBER(C150),C150,0)-IF(ISNUMBER(E150),E150,0))</f>
        <v/>
      </c>
      <c r="G150" s="11" t="str">
        <f>IF(A150="","",IF(IF(ISNUMBER(C150),C150,0)=0,IFERROR(LOOKUP(2,1/(A$4:A149=A150),G$4:G149),IF(ISNUMBER(D150),D150,"")),IF(IFERROR(LOOKUP(2,1/(A$4:A149=A150),F$4:F149),0)&lt;=0,D150,(MAX(0,IFERROR(LOOKUP(2,1/(A$4:A149=A150),F$4:F149),0))*IFERROR(LOOKUP(2,1/(A$4:A149=A150),G$4:G149),0)+C150*D150)/(MAX(0,IFERROR(LOOKUP(2,1/(A$4:A149=A150),F$4:F149),0))+C150))))</f>
        <v/>
      </c>
      <c r="I150" s="7"/>
    </row>
    <row r="151" spans="1:9" x14ac:dyDescent="0.4">
      <c r="A151" s="4"/>
      <c r="B151" s="5"/>
      <c r="C151" s="6"/>
      <c r="D151" s="7"/>
      <c r="E151" s="6"/>
      <c r="F151" s="6" t="str">
        <f>IF(A151="","",IFERROR(LOOKUP(2,1/(A$4:A150=A151),F$4:F150),0)+IF(ISNUMBER(C151),C151,0)-IF(ISNUMBER(E151),E151,0))</f>
        <v/>
      </c>
      <c r="G151" s="11" t="str">
        <f>IF(A151="","",IF(IF(ISNUMBER(C151),C151,0)=0,IFERROR(LOOKUP(2,1/(A$4:A150=A151),G$4:G150),IF(ISNUMBER(D151),D151,"")),IF(IFERROR(LOOKUP(2,1/(A$4:A150=A151),F$4:F150),0)&lt;=0,D151,(MAX(0,IFERROR(LOOKUP(2,1/(A$4:A150=A151),F$4:F150),0))*IFERROR(LOOKUP(2,1/(A$4:A150=A151),G$4:G150),0)+C151*D151)/(MAX(0,IFERROR(LOOKUP(2,1/(A$4:A150=A151),F$4:F150),0))+C151))))</f>
        <v/>
      </c>
      <c r="I151" s="7"/>
    </row>
    <row r="152" spans="1:9" x14ac:dyDescent="0.4">
      <c r="A152" s="4"/>
      <c r="B152" s="5"/>
      <c r="C152" s="6"/>
      <c r="D152" s="7"/>
      <c r="E152" s="6"/>
      <c r="F152" s="6" t="str">
        <f>IF(A152="","",IFERROR(LOOKUP(2,1/(A$4:A151=A152),F$4:F151),0)+IF(ISNUMBER(C152),C152,0)-IF(ISNUMBER(E152),E152,0))</f>
        <v/>
      </c>
      <c r="G152" s="11" t="str">
        <f>IF(A152="","",IF(IF(ISNUMBER(C152),C152,0)=0,IFERROR(LOOKUP(2,1/(A$4:A151=A152),G$4:G151),IF(ISNUMBER(D152),D152,"")),IF(IFERROR(LOOKUP(2,1/(A$4:A151=A152),F$4:F151),0)&lt;=0,D152,(MAX(0,IFERROR(LOOKUP(2,1/(A$4:A151=A152),F$4:F151),0))*IFERROR(LOOKUP(2,1/(A$4:A151=A152),G$4:G151),0)+C152*D152)/(MAX(0,IFERROR(LOOKUP(2,1/(A$4:A151=A152),F$4:F151),0))+C152))))</f>
        <v/>
      </c>
      <c r="I152" s="7"/>
    </row>
    <row r="153" spans="1:9" x14ac:dyDescent="0.4">
      <c r="A153" s="4"/>
      <c r="B153" s="5"/>
      <c r="C153" s="6"/>
      <c r="D153" s="7"/>
      <c r="E153" s="6"/>
      <c r="F153" s="6" t="str">
        <f>IF(A153="","",IFERROR(LOOKUP(2,1/(A$4:A152=A153),F$4:F152),0)+IF(ISNUMBER(C153),C153,0)-IF(ISNUMBER(E153),E153,0))</f>
        <v/>
      </c>
      <c r="G153" s="11" t="str">
        <f>IF(A153="","",IF(IF(ISNUMBER(C153),C153,0)=0,IFERROR(LOOKUP(2,1/(A$4:A152=A153),G$4:G152),IF(ISNUMBER(D153),D153,"")),IF(IFERROR(LOOKUP(2,1/(A$4:A152=A153),F$4:F152),0)&lt;=0,D153,(MAX(0,IFERROR(LOOKUP(2,1/(A$4:A152=A153),F$4:F152),0))*IFERROR(LOOKUP(2,1/(A$4:A152=A153),G$4:G152),0)+C153*D153)/(MAX(0,IFERROR(LOOKUP(2,1/(A$4:A152=A153),F$4:F152),0))+C153))))</f>
        <v/>
      </c>
      <c r="I153" s="7"/>
    </row>
    <row r="154" spans="1:9" x14ac:dyDescent="0.4">
      <c r="A154" s="4"/>
      <c r="B154" s="5"/>
      <c r="C154" s="6"/>
      <c r="D154" s="7"/>
      <c r="E154" s="6"/>
      <c r="F154" s="6" t="str">
        <f>IF(A154="","",IFERROR(LOOKUP(2,1/(A$4:A153=A154),F$4:F153),0)+IF(ISNUMBER(C154),C154,0)-IF(ISNUMBER(E154),E154,0))</f>
        <v/>
      </c>
      <c r="G154" s="11" t="str">
        <f>IF(A154="","",IF(IF(ISNUMBER(C154),C154,0)=0,IFERROR(LOOKUP(2,1/(A$4:A153=A154),G$4:G153),IF(ISNUMBER(D154),D154,"")),IF(IFERROR(LOOKUP(2,1/(A$4:A153=A154),F$4:F153),0)&lt;=0,D154,(MAX(0,IFERROR(LOOKUP(2,1/(A$4:A153=A154),F$4:F153),0))*IFERROR(LOOKUP(2,1/(A$4:A153=A154),G$4:G153),0)+C154*D154)/(MAX(0,IFERROR(LOOKUP(2,1/(A$4:A153=A154),F$4:F153),0))+C154))))</f>
        <v/>
      </c>
      <c r="I154" s="7"/>
    </row>
    <row r="155" spans="1:9" x14ac:dyDescent="0.4">
      <c r="A155" s="4"/>
      <c r="B155" s="5"/>
      <c r="C155" s="6"/>
      <c r="D155" s="7"/>
      <c r="E155" s="6"/>
      <c r="F155" s="6" t="str">
        <f>IF(A155="","",IFERROR(LOOKUP(2,1/(A$4:A154=A155),F$4:F154),0)+IF(ISNUMBER(C155),C155,0)-IF(ISNUMBER(E155),E155,0))</f>
        <v/>
      </c>
      <c r="G155" s="11" t="str">
        <f>IF(A155="","",IF(IF(ISNUMBER(C155),C155,0)=0,IFERROR(LOOKUP(2,1/(A$4:A154=A155),G$4:G154),IF(ISNUMBER(D155),D155,"")),IF(IFERROR(LOOKUP(2,1/(A$4:A154=A155),F$4:F154),0)&lt;=0,D155,(MAX(0,IFERROR(LOOKUP(2,1/(A$4:A154=A155),F$4:F154),0))*IFERROR(LOOKUP(2,1/(A$4:A154=A155),G$4:G154),0)+C155*D155)/(MAX(0,IFERROR(LOOKUP(2,1/(A$4:A154=A155),F$4:F154),0))+C155))))</f>
        <v/>
      </c>
      <c r="I155" s="7"/>
    </row>
    <row r="156" spans="1:9" x14ac:dyDescent="0.4">
      <c r="A156" s="4"/>
      <c r="B156" s="5"/>
      <c r="C156" s="6"/>
      <c r="D156" s="7"/>
      <c r="E156" s="6"/>
      <c r="F156" s="6" t="str">
        <f>IF(A156="","",IFERROR(LOOKUP(2,1/(A$4:A155=A156),F$4:F155),0)+IF(ISNUMBER(C156),C156,0)-IF(ISNUMBER(E156),E156,0))</f>
        <v/>
      </c>
      <c r="G156" s="11" t="str">
        <f>IF(A156="","",IF(IF(ISNUMBER(C156),C156,0)=0,IFERROR(LOOKUP(2,1/(A$4:A155=A156),G$4:G155),IF(ISNUMBER(D156),D156,"")),IF(IFERROR(LOOKUP(2,1/(A$4:A155=A156),F$4:F155),0)&lt;=0,D156,(MAX(0,IFERROR(LOOKUP(2,1/(A$4:A155=A156),F$4:F155),0))*IFERROR(LOOKUP(2,1/(A$4:A155=A156),G$4:G155),0)+C156*D156)/(MAX(0,IFERROR(LOOKUP(2,1/(A$4:A155=A156),F$4:F155),0))+C156))))</f>
        <v/>
      </c>
      <c r="I156" s="7"/>
    </row>
    <row r="157" spans="1:9" x14ac:dyDescent="0.4">
      <c r="A157" s="4"/>
      <c r="B157" s="5"/>
      <c r="C157" s="6"/>
      <c r="D157" s="7"/>
      <c r="E157" s="6"/>
      <c r="F157" s="6" t="str">
        <f>IF(A157="","",IFERROR(LOOKUP(2,1/(A$4:A156=A157),F$4:F156),0)+IF(ISNUMBER(C157),C157,0)-IF(ISNUMBER(E157),E157,0))</f>
        <v/>
      </c>
      <c r="G157" s="11" t="str">
        <f>IF(A157="","",IF(IF(ISNUMBER(C157),C157,0)=0,IFERROR(LOOKUP(2,1/(A$4:A156=A157),G$4:G156),IF(ISNUMBER(D157),D157,"")),IF(IFERROR(LOOKUP(2,1/(A$4:A156=A157),F$4:F156),0)&lt;=0,D157,(MAX(0,IFERROR(LOOKUP(2,1/(A$4:A156=A157),F$4:F156),0))*IFERROR(LOOKUP(2,1/(A$4:A156=A157),G$4:G156),0)+C157*D157)/(MAX(0,IFERROR(LOOKUP(2,1/(A$4:A156=A157),F$4:F156),0))+C157))))</f>
        <v/>
      </c>
      <c r="I157" s="7"/>
    </row>
    <row r="158" spans="1:9" x14ac:dyDescent="0.4">
      <c r="A158" s="4"/>
      <c r="B158" s="5"/>
      <c r="C158" s="6"/>
      <c r="D158" s="7"/>
      <c r="E158" s="6"/>
      <c r="F158" s="6" t="str">
        <f>IF(A158="","",IFERROR(LOOKUP(2,1/(A$4:A157=A158),F$4:F157),0)+IF(ISNUMBER(C158),C158,0)-IF(ISNUMBER(E158),E158,0))</f>
        <v/>
      </c>
      <c r="G158" s="11" t="str">
        <f>IF(A158="","",IF(IF(ISNUMBER(C158),C158,0)=0,IFERROR(LOOKUP(2,1/(A$4:A157=A158),G$4:G157),IF(ISNUMBER(D158),D158,"")),IF(IFERROR(LOOKUP(2,1/(A$4:A157=A158),F$4:F157),0)&lt;=0,D158,(MAX(0,IFERROR(LOOKUP(2,1/(A$4:A157=A158),F$4:F157),0))*IFERROR(LOOKUP(2,1/(A$4:A157=A158),G$4:G157),0)+C158*D158)/(MAX(0,IFERROR(LOOKUP(2,1/(A$4:A157=A158),F$4:F157),0))+C158))))</f>
        <v/>
      </c>
      <c r="I158" s="7"/>
    </row>
    <row r="159" spans="1:9" x14ac:dyDescent="0.4">
      <c r="A159" s="4"/>
      <c r="B159" s="5"/>
      <c r="C159" s="6"/>
      <c r="D159" s="7"/>
      <c r="E159" s="6"/>
      <c r="F159" s="6" t="str">
        <f>IF(A159="","",IFERROR(LOOKUP(2,1/(A$4:A158=A159),F$4:F158),0)+IF(ISNUMBER(C159),C159,0)-IF(ISNUMBER(E159),E159,0))</f>
        <v/>
      </c>
      <c r="G159" s="11" t="str">
        <f>IF(A159="","",IF(IF(ISNUMBER(C159),C159,0)=0,IFERROR(LOOKUP(2,1/(A$4:A158=A159),G$4:G158),IF(ISNUMBER(D159),D159,"")),IF(IFERROR(LOOKUP(2,1/(A$4:A158=A159),F$4:F158),0)&lt;=0,D159,(MAX(0,IFERROR(LOOKUP(2,1/(A$4:A158=A159),F$4:F158),0))*IFERROR(LOOKUP(2,1/(A$4:A158=A159),G$4:G158),0)+C159*D159)/(MAX(0,IFERROR(LOOKUP(2,1/(A$4:A158=A159),F$4:F158),0))+C159))))</f>
        <v/>
      </c>
      <c r="I159" s="7"/>
    </row>
    <row r="160" spans="1:9" x14ac:dyDescent="0.4">
      <c r="A160" s="4"/>
      <c r="B160" s="5"/>
      <c r="C160" s="6"/>
      <c r="D160" s="7"/>
      <c r="E160" s="6"/>
      <c r="F160" s="6" t="str">
        <f>IF(A160="","",IFERROR(LOOKUP(2,1/(A$4:A159=A160),F$4:F159),0)+IF(ISNUMBER(C160),C160,0)-IF(ISNUMBER(E160),E160,0))</f>
        <v/>
      </c>
      <c r="G160" s="11" t="str">
        <f>IF(A160="","",IF(IF(ISNUMBER(C160),C160,0)=0,IFERROR(LOOKUP(2,1/(A$4:A159=A160),G$4:G159),IF(ISNUMBER(D160),D160,"")),IF(IFERROR(LOOKUP(2,1/(A$4:A159=A160),F$4:F159),0)&lt;=0,D160,(MAX(0,IFERROR(LOOKUP(2,1/(A$4:A159=A160),F$4:F159),0))*IFERROR(LOOKUP(2,1/(A$4:A159=A160),G$4:G159),0)+C160*D160)/(MAX(0,IFERROR(LOOKUP(2,1/(A$4:A159=A160),F$4:F159),0))+C160))))</f>
        <v/>
      </c>
      <c r="I160" s="7"/>
    </row>
    <row r="161" spans="1:9" x14ac:dyDescent="0.4">
      <c r="A161" s="4"/>
      <c r="B161" s="5"/>
      <c r="C161" s="6"/>
      <c r="D161" s="7"/>
      <c r="E161" s="6"/>
      <c r="F161" s="6" t="str">
        <f>IF(A161="","",IFERROR(LOOKUP(2,1/(A$4:A160=A161),F$4:F160),0)+IF(ISNUMBER(C161),C161,0)-IF(ISNUMBER(E161),E161,0))</f>
        <v/>
      </c>
      <c r="G161" s="11" t="str">
        <f>IF(A161="","",IF(IF(ISNUMBER(C161),C161,0)=0,IFERROR(LOOKUP(2,1/(A$4:A160=A161),G$4:G160),IF(ISNUMBER(D161),D161,"")),IF(IFERROR(LOOKUP(2,1/(A$4:A160=A161),F$4:F160),0)&lt;=0,D161,(MAX(0,IFERROR(LOOKUP(2,1/(A$4:A160=A161),F$4:F160),0))*IFERROR(LOOKUP(2,1/(A$4:A160=A161),G$4:G160),0)+C161*D161)/(MAX(0,IFERROR(LOOKUP(2,1/(A$4:A160=A161),F$4:F160),0))+C161))))</f>
        <v/>
      </c>
      <c r="I161" s="7"/>
    </row>
    <row r="162" spans="1:9" x14ac:dyDescent="0.4">
      <c r="A162" s="4"/>
      <c r="B162" s="5"/>
      <c r="C162" s="6"/>
      <c r="D162" s="7"/>
      <c r="E162" s="6"/>
      <c r="F162" s="6" t="str">
        <f>IF(A162="","",IFERROR(LOOKUP(2,1/(A$4:A161=A162),F$4:F161),0)+IF(ISNUMBER(C162),C162,0)-IF(ISNUMBER(E162),E162,0))</f>
        <v/>
      </c>
      <c r="G162" s="11" t="str">
        <f>IF(A162="","",IF(IF(ISNUMBER(C162),C162,0)=0,IFERROR(LOOKUP(2,1/(A$4:A161=A162),G$4:G161),IF(ISNUMBER(D162),D162,"")),IF(IFERROR(LOOKUP(2,1/(A$4:A161=A162),F$4:F161),0)&lt;=0,D162,(MAX(0,IFERROR(LOOKUP(2,1/(A$4:A161=A162),F$4:F161),0))*IFERROR(LOOKUP(2,1/(A$4:A161=A162),G$4:G161),0)+C162*D162)/(MAX(0,IFERROR(LOOKUP(2,1/(A$4:A161=A162),F$4:F161),0))+C162))))</f>
        <v/>
      </c>
      <c r="I162" s="7"/>
    </row>
    <row r="163" spans="1:9" x14ac:dyDescent="0.4">
      <c r="A163" s="4"/>
      <c r="B163" s="5"/>
      <c r="C163" s="6"/>
      <c r="D163" s="7"/>
      <c r="E163" s="6"/>
      <c r="F163" s="6" t="str">
        <f>IF(A163="","",IFERROR(LOOKUP(2,1/(A$4:A162=A163),F$4:F162),0)+IF(ISNUMBER(C163),C163,0)-IF(ISNUMBER(E163),E163,0))</f>
        <v/>
      </c>
      <c r="G163" s="11" t="str">
        <f>IF(A163="","",IF(IF(ISNUMBER(C163),C163,0)=0,IFERROR(LOOKUP(2,1/(A$4:A162=A163),G$4:G162),IF(ISNUMBER(D163),D163,"")),IF(IFERROR(LOOKUP(2,1/(A$4:A162=A163),F$4:F162),0)&lt;=0,D163,(MAX(0,IFERROR(LOOKUP(2,1/(A$4:A162=A163),F$4:F162),0))*IFERROR(LOOKUP(2,1/(A$4:A162=A163),G$4:G162),0)+C163*D163)/(MAX(0,IFERROR(LOOKUP(2,1/(A$4:A162=A163),F$4:F162),0))+C163))))</f>
        <v/>
      </c>
      <c r="I163" s="7"/>
    </row>
    <row r="164" spans="1:9" x14ac:dyDescent="0.4">
      <c r="A164" s="4"/>
      <c r="B164" s="5"/>
      <c r="C164" s="6"/>
      <c r="D164" s="7"/>
      <c r="E164" s="6"/>
      <c r="F164" s="6" t="str">
        <f>IF(A164="","",IFERROR(LOOKUP(2,1/(A$4:A163=A164),F$4:F163),0)+IF(ISNUMBER(C164),C164,0)-IF(ISNUMBER(E164),E164,0))</f>
        <v/>
      </c>
      <c r="G164" s="11" t="str">
        <f>IF(A164="","",IF(IF(ISNUMBER(C164),C164,0)=0,IFERROR(LOOKUP(2,1/(A$4:A163=A164),G$4:G163),IF(ISNUMBER(D164),D164,"")),IF(IFERROR(LOOKUP(2,1/(A$4:A163=A164),F$4:F163),0)&lt;=0,D164,(MAX(0,IFERROR(LOOKUP(2,1/(A$4:A163=A164),F$4:F163),0))*IFERROR(LOOKUP(2,1/(A$4:A163=A164),G$4:G163),0)+C164*D164)/(MAX(0,IFERROR(LOOKUP(2,1/(A$4:A163=A164),F$4:F163),0))+C164))))</f>
        <v/>
      </c>
      <c r="I164" s="7"/>
    </row>
    <row r="165" spans="1:9" x14ac:dyDescent="0.4">
      <c r="A165" s="4"/>
      <c r="B165" s="5"/>
      <c r="C165" s="6"/>
      <c r="D165" s="7"/>
      <c r="E165" s="6"/>
      <c r="F165" s="6" t="str">
        <f>IF(A165="","",IFERROR(LOOKUP(2,1/(A$4:A164=A165),F$4:F164),0)+IF(ISNUMBER(C165),C165,0)-IF(ISNUMBER(E165),E165,0))</f>
        <v/>
      </c>
      <c r="G165" s="11" t="str">
        <f>IF(A165="","",IF(IF(ISNUMBER(C165),C165,0)=0,IFERROR(LOOKUP(2,1/(A$4:A164=A165),G$4:G164),IF(ISNUMBER(D165),D165,"")),IF(IFERROR(LOOKUP(2,1/(A$4:A164=A165),F$4:F164),0)&lt;=0,D165,(MAX(0,IFERROR(LOOKUP(2,1/(A$4:A164=A165),F$4:F164),0))*IFERROR(LOOKUP(2,1/(A$4:A164=A165),G$4:G164),0)+C165*D165)/(MAX(0,IFERROR(LOOKUP(2,1/(A$4:A164=A165),F$4:F164),0))+C165))))</f>
        <v/>
      </c>
      <c r="I165" s="7"/>
    </row>
    <row r="166" spans="1:9" x14ac:dyDescent="0.4">
      <c r="A166" s="4"/>
      <c r="B166" s="5"/>
      <c r="C166" s="6"/>
      <c r="D166" s="7"/>
      <c r="E166" s="6"/>
      <c r="F166" s="6" t="str">
        <f>IF(A166="","",IFERROR(LOOKUP(2,1/(A$4:A165=A166),F$4:F165),0)+IF(ISNUMBER(C166),C166,0)-IF(ISNUMBER(E166),E166,0))</f>
        <v/>
      </c>
      <c r="G166" s="11" t="str">
        <f>IF(A166="","",IF(IF(ISNUMBER(C166),C166,0)=0,IFERROR(LOOKUP(2,1/(A$4:A165=A166),G$4:G165),IF(ISNUMBER(D166),D166,"")),IF(IFERROR(LOOKUP(2,1/(A$4:A165=A166),F$4:F165),0)&lt;=0,D166,(MAX(0,IFERROR(LOOKUP(2,1/(A$4:A165=A166),F$4:F165),0))*IFERROR(LOOKUP(2,1/(A$4:A165=A166),G$4:G165),0)+C166*D166)/(MAX(0,IFERROR(LOOKUP(2,1/(A$4:A165=A166),F$4:F165),0))+C166))))</f>
        <v/>
      </c>
      <c r="I166" s="7"/>
    </row>
    <row r="167" spans="1:9" x14ac:dyDescent="0.4">
      <c r="A167" s="4"/>
      <c r="B167" s="5"/>
      <c r="C167" s="6"/>
      <c r="D167" s="7"/>
      <c r="E167" s="6"/>
      <c r="F167" s="6" t="str">
        <f>IF(A167="","",IFERROR(LOOKUP(2,1/(A$4:A166=A167),F$4:F166),0)+IF(ISNUMBER(C167),C167,0)-IF(ISNUMBER(E167),E167,0))</f>
        <v/>
      </c>
      <c r="G167" s="11" t="str">
        <f>IF(A167="","",IF(IF(ISNUMBER(C167),C167,0)=0,IFERROR(LOOKUP(2,1/(A$4:A166=A167),G$4:G166),IF(ISNUMBER(D167),D167,"")),IF(IFERROR(LOOKUP(2,1/(A$4:A166=A167),F$4:F166),0)&lt;=0,D167,(MAX(0,IFERROR(LOOKUP(2,1/(A$4:A166=A167),F$4:F166),0))*IFERROR(LOOKUP(2,1/(A$4:A166=A167),G$4:G166),0)+C167*D167)/(MAX(0,IFERROR(LOOKUP(2,1/(A$4:A166=A167),F$4:F166),0))+C167))))</f>
        <v/>
      </c>
      <c r="I167" s="7"/>
    </row>
    <row r="168" spans="1:9" x14ac:dyDescent="0.4">
      <c r="A168" s="4"/>
      <c r="B168" s="5"/>
      <c r="C168" s="6"/>
      <c r="D168" s="7"/>
      <c r="E168" s="6"/>
      <c r="F168" s="6" t="str">
        <f>IF(A168="","",IFERROR(LOOKUP(2,1/(A$4:A167=A168),F$4:F167),0)+IF(ISNUMBER(C168),C168,0)-IF(ISNUMBER(E168),E168,0))</f>
        <v/>
      </c>
      <c r="G168" s="11" t="str">
        <f>IF(A168="","",IF(IF(ISNUMBER(C168),C168,0)=0,IFERROR(LOOKUP(2,1/(A$4:A167=A168),G$4:G167),IF(ISNUMBER(D168),D168,"")),IF(IFERROR(LOOKUP(2,1/(A$4:A167=A168),F$4:F167),0)&lt;=0,D168,(MAX(0,IFERROR(LOOKUP(2,1/(A$4:A167=A168),F$4:F167),0))*IFERROR(LOOKUP(2,1/(A$4:A167=A168),G$4:G167),0)+C168*D168)/(MAX(0,IFERROR(LOOKUP(2,1/(A$4:A167=A168),F$4:F167),0))+C168))))</f>
        <v/>
      </c>
      <c r="I168" s="7"/>
    </row>
    <row r="169" spans="1:9" x14ac:dyDescent="0.4">
      <c r="A169" s="4"/>
      <c r="B169" s="5"/>
      <c r="C169" s="6"/>
      <c r="D169" s="7"/>
      <c r="E169" s="6"/>
      <c r="F169" s="6" t="str">
        <f>IF(A169="","",IFERROR(LOOKUP(2,1/(A$4:A168=A169),F$4:F168),0)+IF(ISNUMBER(C169),C169,0)-IF(ISNUMBER(E169),E169,0))</f>
        <v/>
      </c>
      <c r="G169" s="11" t="str">
        <f>IF(A169="","",IF(IF(ISNUMBER(C169),C169,0)=0,IFERROR(LOOKUP(2,1/(A$4:A168=A169),G$4:G168),IF(ISNUMBER(D169),D169,"")),IF(IFERROR(LOOKUP(2,1/(A$4:A168=A169),F$4:F168),0)&lt;=0,D169,(MAX(0,IFERROR(LOOKUP(2,1/(A$4:A168=A169),F$4:F168),0))*IFERROR(LOOKUP(2,1/(A$4:A168=A169),G$4:G168),0)+C169*D169)/(MAX(0,IFERROR(LOOKUP(2,1/(A$4:A168=A169),F$4:F168),0))+C169))))</f>
        <v/>
      </c>
      <c r="I169" s="7"/>
    </row>
    <row r="170" spans="1:9" x14ac:dyDescent="0.4">
      <c r="A170" s="4"/>
      <c r="B170" s="5"/>
      <c r="C170" s="6"/>
      <c r="D170" s="7"/>
      <c r="E170" s="6"/>
      <c r="F170" s="6" t="str">
        <f>IF(A170="","",IFERROR(LOOKUP(2,1/(A$4:A169=A170),F$4:F169),0)+IF(ISNUMBER(C170),C170,0)-IF(ISNUMBER(E170),E170,0))</f>
        <v/>
      </c>
      <c r="G170" s="11" t="str">
        <f>IF(A170="","",IF(IF(ISNUMBER(C170),C170,0)=0,IFERROR(LOOKUP(2,1/(A$4:A169=A170),G$4:G169),IF(ISNUMBER(D170),D170,"")),IF(IFERROR(LOOKUP(2,1/(A$4:A169=A170),F$4:F169),0)&lt;=0,D170,(MAX(0,IFERROR(LOOKUP(2,1/(A$4:A169=A170),F$4:F169),0))*IFERROR(LOOKUP(2,1/(A$4:A169=A170),G$4:G169),0)+C170*D170)/(MAX(0,IFERROR(LOOKUP(2,1/(A$4:A169=A170),F$4:F169),0))+C170))))</f>
        <v/>
      </c>
      <c r="I170" s="7"/>
    </row>
    <row r="171" spans="1:9" x14ac:dyDescent="0.4">
      <c r="A171" s="4"/>
      <c r="B171" s="5"/>
      <c r="C171" s="6"/>
      <c r="D171" s="7"/>
      <c r="E171" s="6"/>
      <c r="F171" s="6" t="str">
        <f>IF(A171="","",IFERROR(LOOKUP(2,1/(A$4:A170=A171),F$4:F170),0)+IF(ISNUMBER(C171),C171,0)-IF(ISNUMBER(E171),E171,0))</f>
        <v/>
      </c>
      <c r="G171" s="11" t="str">
        <f>IF(A171="","",IF(IF(ISNUMBER(C171),C171,0)=0,IFERROR(LOOKUP(2,1/(A$4:A170=A171),G$4:G170),IF(ISNUMBER(D171),D171,"")),IF(IFERROR(LOOKUP(2,1/(A$4:A170=A171),F$4:F170),0)&lt;=0,D171,(MAX(0,IFERROR(LOOKUP(2,1/(A$4:A170=A171),F$4:F170),0))*IFERROR(LOOKUP(2,1/(A$4:A170=A171),G$4:G170),0)+C171*D171)/(MAX(0,IFERROR(LOOKUP(2,1/(A$4:A170=A171),F$4:F170),0))+C171))))</f>
        <v/>
      </c>
      <c r="I171" s="7"/>
    </row>
    <row r="172" spans="1:9" x14ac:dyDescent="0.4">
      <c r="A172" s="4"/>
      <c r="B172" s="5"/>
      <c r="C172" s="6"/>
      <c r="D172" s="7"/>
      <c r="E172" s="6"/>
      <c r="F172" s="6" t="str">
        <f>IF(A172="","",IFERROR(LOOKUP(2,1/(A$4:A171=A172),F$4:F171),0)+IF(ISNUMBER(C172),C172,0)-IF(ISNUMBER(E172),E172,0))</f>
        <v/>
      </c>
      <c r="G172" s="11" t="str">
        <f>IF(A172="","",IF(IF(ISNUMBER(C172),C172,0)=0,IFERROR(LOOKUP(2,1/(A$4:A171=A172),G$4:G171),IF(ISNUMBER(D172),D172,"")),IF(IFERROR(LOOKUP(2,1/(A$4:A171=A172),F$4:F171),0)&lt;=0,D172,(MAX(0,IFERROR(LOOKUP(2,1/(A$4:A171=A172),F$4:F171),0))*IFERROR(LOOKUP(2,1/(A$4:A171=A172),G$4:G171),0)+C172*D172)/(MAX(0,IFERROR(LOOKUP(2,1/(A$4:A171=A172),F$4:F171),0))+C172))))</f>
        <v/>
      </c>
      <c r="I172" s="7"/>
    </row>
    <row r="173" spans="1:9" x14ac:dyDescent="0.4">
      <c r="A173" s="4"/>
      <c r="B173" s="5"/>
      <c r="C173" s="6"/>
      <c r="D173" s="7"/>
      <c r="E173" s="6"/>
      <c r="F173" s="6" t="str">
        <f>IF(A173="","",IFERROR(LOOKUP(2,1/(A$4:A172=A173),F$4:F172),0)+IF(ISNUMBER(C173),C173,0)-IF(ISNUMBER(E173),E173,0))</f>
        <v/>
      </c>
      <c r="G173" s="11" t="str">
        <f>IF(A173="","",IF(IF(ISNUMBER(C173),C173,0)=0,IFERROR(LOOKUP(2,1/(A$4:A172=A173),G$4:G172),IF(ISNUMBER(D173),D173,"")),IF(IFERROR(LOOKUP(2,1/(A$4:A172=A173),F$4:F172),0)&lt;=0,D173,(MAX(0,IFERROR(LOOKUP(2,1/(A$4:A172=A173),F$4:F172),0))*IFERROR(LOOKUP(2,1/(A$4:A172=A173),G$4:G172),0)+C173*D173)/(MAX(0,IFERROR(LOOKUP(2,1/(A$4:A172=A173),F$4:F172),0))+C173))))</f>
        <v/>
      </c>
      <c r="I173" s="7"/>
    </row>
    <row r="174" spans="1:9" x14ac:dyDescent="0.4">
      <c r="A174" s="4"/>
      <c r="B174" s="5"/>
      <c r="C174" s="6"/>
      <c r="D174" s="7"/>
      <c r="E174" s="6"/>
      <c r="F174" s="6" t="str">
        <f>IF(A174="","",IFERROR(LOOKUP(2,1/(A$4:A173=A174),F$4:F173),0)+IF(ISNUMBER(C174),C174,0)-IF(ISNUMBER(E174),E174,0))</f>
        <v/>
      </c>
      <c r="G174" s="11" t="str">
        <f>IF(A174="","",IF(IF(ISNUMBER(C174),C174,0)=0,IFERROR(LOOKUP(2,1/(A$4:A173=A174),G$4:G173),IF(ISNUMBER(D174),D174,"")),IF(IFERROR(LOOKUP(2,1/(A$4:A173=A174),F$4:F173),0)&lt;=0,D174,(MAX(0,IFERROR(LOOKUP(2,1/(A$4:A173=A174),F$4:F173),0))*IFERROR(LOOKUP(2,1/(A$4:A173=A174),G$4:G173),0)+C174*D174)/(MAX(0,IFERROR(LOOKUP(2,1/(A$4:A173=A174),F$4:F173),0))+C174))))</f>
        <v/>
      </c>
      <c r="I174" s="7"/>
    </row>
    <row r="175" spans="1:9" x14ac:dyDescent="0.4">
      <c r="A175" s="4"/>
      <c r="B175" s="5"/>
      <c r="C175" s="6"/>
      <c r="D175" s="7"/>
      <c r="E175" s="6"/>
      <c r="F175" s="6" t="str">
        <f>IF(A175="","",IFERROR(LOOKUP(2,1/(A$4:A174=A175),F$4:F174),0)+IF(ISNUMBER(C175),C175,0)-IF(ISNUMBER(E175),E175,0))</f>
        <v/>
      </c>
      <c r="G175" s="11" t="str">
        <f>IF(A175="","",IF(IF(ISNUMBER(C175),C175,0)=0,IFERROR(LOOKUP(2,1/(A$4:A174=A175),G$4:G174),IF(ISNUMBER(D175),D175,"")),IF(IFERROR(LOOKUP(2,1/(A$4:A174=A175),F$4:F174),0)&lt;=0,D175,(MAX(0,IFERROR(LOOKUP(2,1/(A$4:A174=A175),F$4:F174),0))*IFERROR(LOOKUP(2,1/(A$4:A174=A175),G$4:G174),0)+C175*D175)/(MAX(0,IFERROR(LOOKUP(2,1/(A$4:A174=A175),F$4:F174),0))+C175))))</f>
        <v/>
      </c>
      <c r="I175" s="7"/>
    </row>
    <row r="176" spans="1:9" x14ac:dyDescent="0.4">
      <c r="A176" s="4"/>
      <c r="B176" s="5"/>
      <c r="C176" s="6"/>
      <c r="D176" s="7"/>
      <c r="E176" s="6"/>
      <c r="F176" s="6" t="str">
        <f>IF(A176="","",IFERROR(LOOKUP(2,1/(A$4:A175=A176),F$4:F175),0)+IF(ISNUMBER(C176),C176,0)-IF(ISNUMBER(E176),E176,0))</f>
        <v/>
      </c>
      <c r="G176" s="11" t="str">
        <f>IF(A176="","",IF(IF(ISNUMBER(C176),C176,0)=0,IFERROR(LOOKUP(2,1/(A$4:A175=A176),G$4:G175),IF(ISNUMBER(D176),D176,"")),IF(IFERROR(LOOKUP(2,1/(A$4:A175=A176),F$4:F175),0)&lt;=0,D176,(MAX(0,IFERROR(LOOKUP(2,1/(A$4:A175=A176),F$4:F175),0))*IFERROR(LOOKUP(2,1/(A$4:A175=A176),G$4:G175),0)+C176*D176)/(MAX(0,IFERROR(LOOKUP(2,1/(A$4:A175=A176),F$4:F175),0))+C176))))</f>
        <v/>
      </c>
      <c r="I176" s="7"/>
    </row>
    <row r="177" spans="1:9" x14ac:dyDescent="0.4">
      <c r="A177" s="4"/>
      <c r="B177" s="5"/>
      <c r="C177" s="6"/>
      <c r="D177" s="7"/>
      <c r="E177" s="6"/>
      <c r="F177" s="6" t="str">
        <f>IF(A177="","",IFERROR(LOOKUP(2,1/(A$4:A176=A177),F$4:F176),0)+IF(ISNUMBER(C177),C177,0)-IF(ISNUMBER(E177),E177,0))</f>
        <v/>
      </c>
      <c r="G177" s="11" t="str">
        <f>IF(A177="","",IF(IF(ISNUMBER(C177),C177,0)=0,IFERROR(LOOKUP(2,1/(A$4:A176=A177),G$4:G176),IF(ISNUMBER(D177),D177,"")),IF(IFERROR(LOOKUP(2,1/(A$4:A176=A177),F$4:F176),0)&lt;=0,D177,(MAX(0,IFERROR(LOOKUP(2,1/(A$4:A176=A177),F$4:F176),0))*IFERROR(LOOKUP(2,1/(A$4:A176=A177),G$4:G176),0)+C177*D177)/(MAX(0,IFERROR(LOOKUP(2,1/(A$4:A176=A177),F$4:F176),0))+C177))))</f>
        <v/>
      </c>
      <c r="I177" s="7"/>
    </row>
    <row r="178" spans="1:9" x14ac:dyDescent="0.4">
      <c r="A178" s="4"/>
      <c r="B178" s="5"/>
      <c r="C178" s="6"/>
      <c r="D178" s="7"/>
      <c r="E178" s="6"/>
      <c r="F178" s="6" t="str">
        <f>IF(A178="","",IFERROR(LOOKUP(2,1/(A$4:A177=A178),F$4:F177),0)+IF(ISNUMBER(C178),C178,0)-IF(ISNUMBER(E178),E178,0))</f>
        <v/>
      </c>
      <c r="G178" s="11" t="str">
        <f>IF(A178="","",IF(IF(ISNUMBER(C178),C178,0)=0,IFERROR(LOOKUP(2,1/(A$4:A177=A178),G$4:G177),IF(ISNUMBER(D178),D178,"")),IF(IFERROR(LOOKUP(2,1/(A$4:A177=A178),F$4:F177),0)&lt;=0,D178,(MAX(0,IFERROR(LOOKUP(2,1/(A$4:A177=A178),F$4:F177),0))*IFERROR(LOOKUP(2,1/(A$4:A177=A178),G$4:G177),0)+C178*D178)/(MAX(0,IFERROR(LOOKUP(2,1/(A$4:A177=A178),F$4:F177),0))+C178))))</f>
        <v/>
      </c>
      <c r="I178" s="7"/>
    </row>
    <row r="179" spans="1:9" x14ac:dyDescent="0.4">
      <c r="A179" s="4"/>
      <c r="B179" s="5"/>
      <c r="C179" s="6"/>
      <c r="D179" s="7"/>
      <c r="E179" s="6"/>
      <c r="F179" s="6" t="str">
        <f>IF(A179="","",IFERROR(LOOKUP(2,1/(A$4:A178=A179),F$4:F178),0)+IF(ISNUMBER(C179),C179,0)-IF(ISNUMBER(E179),E179,0))</f>
        <v/>
      </c>
      <c r="G179" s="11" t="str">
        <f>IF(A179="","",IF(IF(ISNUMBER(C179),C179,0)=0,IFERROR(LOOKUP(2,1/(A$4:A178=A179),G$4:G178),IF(ISNUMBER(D179),D179,"")),IF(IFERROR(LOOKUP(2,1/(A$4:A178=A179),F$4:F178),0)&lt;=0,D179,(MAX(0,IFERROR(LOOKUP(2,1/(A$4:A178=A179),F$4:F178),0))*IFERROR(LOOKUP(2,1/(A$4:A178=A179),G$4:G178),0)+C179*D179)/(MAX(0,IFERROR(LOOKUP(2,1/(A$4:A178=A179),F$4:F178),0))+C179))))</f>
        <v/>
      </c>
      <c r="I179" s="7"/>
    </row>
    <row r="180" spans="1:9" x14ac:dyDescent="0.4">
      <c r="A180" s="4"/>
      <c r="B180" s="5"/>
      <c r="C180" s="6"/>
      <c r="D180" s="7"/>
      <c r="E180" s="6"/>
      <c r="F180" s="6" t="str">
        <f>IF(A180="","",IFERROR(LOOKUP(2,1/(A$4:A179=A180),F$4:F179),0)+IF(ISNUMBER(C180),C180,0)-IF(ISNUMBER(E180),E180,0))</f>
        <v/>
      </c>
      <c r="G180" s="11" t="str">
        <f>IF(A180="","",IF(IF(ISNUMBER(C180),C180,0)=0,IFERROR(LOOKUP(2,1/(A$4:A179=A180),G$4:G179),IF(ISNUMBER(D180),D180,"")),IF(IFERROR(LOOKUP(2,1/(A$4:A179=A180),F$4:F179),0)&lt;=0,D180,(MAX(0,IFERROR(LOOKUP(2,1/(A$4:A179=A180),F$4:F179),0))*IFERROR(LOOKUP(2,1/(A$4:A179=A180),G$4:G179),0)+C180*D180)/(MAX(0,IFERROR(LOOKUP(2,1/(A$4:A179=A180),F$4:F179),0))+C180))))</f>
        <v/>
      </c>
      <c r="I180" s="7"/>
    </row>
    <row r="181" spans="1:9" x14ac:dyDescent="0.4">
      <c r="A181" s="4"/>
      <c r="B181" s="5"/>
      <c r="C181" s="6"/>
      <c r="D181" s="7"/>
      <c r="E181" s="6"/>
      <c r="F181" s="6" t="str">
        <f>IF(A181="","",IFERROR(LOOKUP(2,1/(A$4:A180=A181),F$4:F180),0)+IF(ISNUMBER(C181),C181,0)-IF(ISNUMBER(E181),E181,0))</f>
        <v/>
      </c>
      <c r="G181" s="11" t="str">
        <f>IF(A181="","",IF(IF(ISNUMBER(C181),C181,0)=0,IFERROR(LOOKUP(2,1/(A$4:A180=A181),G$4:G180),IF(ISNUMBER(D181),D181,"")),IF(IFERROR(LOOKUP(2,1/(A$4:A180=A181),F$4:F180),0)&lt;=0,D181,(MAX(0,IFERROR(LOOKUP(2,1/(A$4:A180=A181),F$4:F180),0))*IFERROR(LOOKUP(2,1/(A$4:A180=A181),G$4:G180),0)+C181*D181)/(MAX(0,IFERROR(LOOKUP(2,1/(A$4:A180=A181),F$4:F180),0))+C181))))</f>
        <v/>
      </c>
      <c r="I181" s="7"/>
    </row>
    <row r="182" spans="1:9" x14ac:dyDescent="0.4">
      <c r="A182" s="4"/>
      <c r="B182" s="5"/>
      <c r="C182" s="6"/>
      <c r="D182" s="7"/>
      <c r="E182" s="6"/>
      <c r="F182" s="6" t="str">
        <f>IF(A182="","",IFERROR(LOOKUP(2,1/(A$4:A181=A182),F$4:F181),0)+IF(ISNUMBER(C182),C182,0)-IF(ISNUMBER(E182),E182,0))</f>
        <v/>
      </c>
      <c r="G182" s="11" t="str">
        <f>IF(A182="","",IF(IF(ISNUMBER(C182),C182,0)=0,IFERROR(LOOKUP(2,1/(A$4:A181=A182),G$4:G181),IF(ISNUMBER(D182),D182,"")),IF(IFERROR(LOOKUP(2,1/(A$4:A181=A182),F$4:F181),0)&lt;=0,D182,(MAX(0,IFERROR(LOOKUP(2,1/(A$4:A181=A182),F$4:F181),0))*IFERROR(LOOKUP(2,1/(A$4:A181=A182),G$4:G181),0)+C182*D182)/(MAX(0,IFERROR(LOOKUP(2,1/(A$4:A181=A182),F$4:F181),0))+C182))))</f>
        <v/>
      </c>
      <c r="I182" s="7"/>
    </row>
    <row r="183" spans="1:9" x14ac:dyDescent="0.4">
      <c r="A183" s="4"/>
      <c r="B183" s="5"/>
      <c r="C183" s="6"/>
      <c r="D183" s="7"/>
      <c r="E183" s="6"/>
      <c r="F183" s="6" t="str">
        <f>IF(A183="","",IFERROR(LOOKUP(2,1/(A$4:A182=A183),F$4:F182),0)+IF(ISNUMBER(C183),C183,0)-IF(ISNUMBER(E183),E183,0))</f>
        <v/>
      </c>
      <c r="G183" s="11" t="str">
        <f>IF(A183="","",IF(IF(ISNUMBER(C183),C183,0)=0,IFERROR(LOOKUP(2,1/(A$4:A182=A183),G$4:G182),IF(ISNUMBER(D183),D183,"")),IF(IFERROR(LOOKUP(2,1/(A$4:A182=A183),F$4:F182),0)&lt;=0,D183,(MAX(0,IFERROR(LOOKUP(2,1/(A$4:A182=A183),F$4:F182),0))*IFERROR(LOOKUP(2,1/(A$4:A182=A183),G$4:G182),0)+C183*D183)/(MAX(0,IFERROR(LOOKUP(2,1/(A$4:A182=A183),F$4:F182),0))+C183))))</f>
        <v/>
      </c>
      <c r="I183" s="7"/>
    </row>
    <row r="184" spans="1:9" x14ac:dyDescent="0.4">
      <c r="A184" s="4"/>
      <c r="B184" s="5"/>
      <c r="C184" s="6"/>
      <c r="D184" s="7"/>
      <c r="E184" s="6"/>
      <c r="F184" s="6" t="str">
        <f>IF(A184="","",IFERROR(LOOKUP(2,1/(A$4:A183=A184),F$4:F183),0)+IF(ISNUMBER(C184),C184,0)-IF(ISNUMBER(E184),E184,0))</f>
        <v/>
      </c>
      <c r="G184" s="11" t="str">
        <f>IF(A184="","",IF(IF(ISNUMBER(C184),C184,0)=0,IFERROR(LOOKUP(2,1/(A$4:A183=A184),G$4:G183),IF(ISNUMBER(D184),D184,"")),IF(IFERROR(LOOKUP(2,1/(A$4:A183=A184),F$4:F183),0)&lt;=0,D184,(MAX(0,IFERROR(LOOKUP(2,1/(A$4:A183=A184),F$4:F183),0))*IFERROR(LOOKUP(2,1/(A$4:A183=A184),G$4:G183),0)+C184*D184)/(MAX(0,IFERROR(LOOKUP(2,1/(A$4:A183=A184),F$4:F183),0))+C184))))</f>
        <v/>
      </c>
      <c r="I184" s="7"/>
    </row>
    <row r="185" spans="1:9" x14ac:dyDescent="0.4">
      <c r="A185" s="4"/>
      <c r="B185" s="5"/>
      <c r="C185" s="6"/>
      <c r="D185" s="7"/>
      <c r="E185" s="6"/>
      <c r="F185" s="6" t="str">
        <f>IF(A185="","",IFERROR(LOOKUP(2,1/(A$4:A184=A185),F$4:F184),0)+IF(ISNUMBER(C185),C185,0)-IF(ISNUMBER(E185),E185,0))</f>
        <v/>
      </c>
      <c r="G185" s="11" t="str">
        <f>IF(A185="","",IF(IF(ISNUMBER(C185),C185,0)=0,IFERROR(LOOKUP(2,1/(A$4:A184=A185),G$4:G184),IF(ISNUMBER(D185),D185,"")),IF(IFERROR(LOOKUP(2,1/(A$4:A184=A185),F$4:F184),0)&lt;=0,D185,(MAX(0,IFERROR(LOOKUP(2,1/(A$4:A184=A185),F$4:F184),0))*IFERROR(LOOKUP(2,1/(A$4:A184=A185),G$4:G184),0)+C185*D185)/(MAX(0,IFERROR(LOOKUP(2,1/(A$4:A184=A185),F$4:F184),0))+C185))))</f>
        <v/>
      </c>
      <c r="I185" s="7"/>
    </row>
    <row r="186" spans="1:9" x14ac:dyDescent="0.4">
      <c r="A186" s="4"/>
      <c r="B186" s="5"/>
      <c r="C186" s="6"/>
      <c r="D186" s="7"/>
      <c r="E186" s="6"/>
      <c r="F186" s="6" t="str">
        <f>IF(A186="","",IFERROR(LOOKUP(2,1/(A$4:A185=A186),F$4:F185),0)+IF(ISNUMBER(C186),C186,0)-IF(ISNUMBER(E186),E186,0))</f>
        <v/>
      </c>
      <c r="G186" s="11" t="str">
        <f>IF(A186="","",IF(IF(ISNUMBER(C186),C186,0)=0,IFERROR(LOOKUP(2,1/(A$4:A185=A186),G$4:G185),IF(ISNUMBER(D186),D186,"")),IF(IFERROR(LOOKUP(2,1/(A$4:A185=A186),F$4:F185),0)&lt;=0,D186,(MAX(0,IFERROR(LOOKUP(2,1/(A$4:A185=A186),F$4:F185),0))*IFERROR(LOOKUP(2,1/(A$4:A185=A186),G$4:G185),0)+C186*D186)/(MAX(0,IFERROR(LOOKUP(2,1/(A$4:A185=A186),F$4:F185),0))+C186))))</f>
        <v/>
      </c>
      <c r="I186" s="7"/>
    </row>
    <row r="187" spans="1:9" x14ac:dyDescent="0.4">
      <c r="A187" s="4"/>
      <c r="B187" s="5"/>
      <c r="C187" s="6"/>
      <c r="D187" s="7"/>
      <c r="E187" s="6"/>
      <c r="F187" s="6" t="str">
        <f>IF(A187="","",IFERROR(LOOKUP(2,1/(A$4:A186=A187),F$4:F186),0)+IF(ISNUMBER(C187),C187,0)-IF(ISNUMBER(E187),E187,0))</f>
        <v/>
      </c>
      <c r="G187" s="11" t="str">
        <f>IF(A187="","",IF(IF(ISNUMBER(C187),C187,0)=0,IFERROR(LOOKUP(2,1/(A$4:A186=A187),G$4:G186),IF(ISNUMBER(D187),D187,"")),IF(IFERROR(LOOKUP(2,1/(A$4:A186=A187),F$4:F186),0)&lt;=0,D187,(MAX(0,IFERROR(LOOKUP(2,1/(A$4:A186=A187),F$4:F186),0))*IFERROR(LOOKUP(2,1/(A$4:A186=A187),G$4:G186),0)+C187*D187)/(MAX(0,IFERROR(LOOKUP(2,1/(A$4:A186=A187),F$4:F186),0))+C187))))</f>
        <v/>
      </c>
      <c r="I187" s="7"/>
    </row>
    <row r="188" spans="1:9" x14ac:dyDescent="0.4">
      <c r="A188" s="4"/>
      <c r="B188" s="5"/>
      <c r="C188" s="6"/>
      <c r="D188" s="7"/>
      <c r="E188" s="6"/>
      <c r="F188" s="6" t="str">
        <f>IF(A188="","",IFERROR(LOOKUP(2,1/(A$4:A187=A188),F$4:F187),0)+IF(ISNUMBER(C188),C188,0)-IF(ISNUMBER(E188),E188,0))</f>
        <v/>
      </c>
      <c r="G188" s="11" t="str">
        <f>IF(A188="","",IF(IF(ISNUMBER(C188),C188,0)=0,IFERROR(LOOKUP(2,1/(A$4:A187=A188),G$4:G187),IF(ISNUMBER(D188),D188,"")),IF(IFERROR(LOOKUP(2,1/(A$4:A187=A188),F$4:F187),0)&lt;=0,D188,(MAX(0,IFERROR(LOOKUP(2,1/(A$4:A187=A188),F$4:F187),0))*IFERROR(LOOKUP(2,1/(A$4:A187=A188),G$4:G187),0)+C188*D188)/(MAX(0,IFERROR(LOOKUP(2,1/(A$4:A187=A188),F$4:F187),0))+C188))))</f>
        <v/>
      </c>
      <c r="I188" s="7"/>
    </row>
    <row r="189" spans="1:9" x14ac:dyDescent="0.4">
      <c r="A189" s="4"/>
      <c r="B189" s="5"/>
      <c r="C189" s="6"/>
      <c r="D189" s="7"/>
      <c r="E189" s="6"/>
      <c r="F189" s="6" t="str">
        <f>IF(A189="","",IFERROR(LOOKUP(2,1/(A$4:A188=A189),F$4:F188),0)+IF(ISNUMBER(C189),C189,0)-IF(ISNUMBER(E189),E189,0))</f>
        <v/>
      </c>
      <c r="G189" s="11" t="str">
        <f>IF(A189="","",IF(IF(ISNUMBER(C189),C189,0)=0,IFERROR(LOOKUP(2,1/(A$4:A188=A189),G$4:G188),IF(ISNUMBER(D189),D189,"")),IF(IFERROR(LOOKUP(2,1/(A$4:A188=A189),F$4:F188),0)&lt;=0,D189,(MAX(0,IFERROR(LOOKUP(2,1/(A$4:A188=A189),F$4:F188),0))*IFERROR(LOOKUP(2,1/(A$4:A188=A189),G$4:G188),0)+C189*D189)/(MAX(0,IFERROR(LOOKUP(2,1/(A$4:A188=A189),F$4:F188),0))+C189))))</f>
        <v/>
      </c>
      <c r="I189" s="7"/>
    </row>
    <row r="190" spans="1:9" x14ac:dyDescent="0.4">
      <c r="A190" s="4"/>
      <c r="B190" s="5"/>
      <c r="C190" s="6"/>
      <c r="D190" s="7"/>
      <c r="E190" s="6"/>
      <c r="F190" s="6" t="str">
        <f>IF(A190="","",IFERROR(LOOKUP(2,1/(A$4:A189=A190),F$4:F189),0)+IF(ISNUMBER(C190),C190,0)-IF(ISNUMBER(E190),E190,0))</f>
        <v/>
      </c>
      <c r="G190" s="11" t="str">
        <f>IF(A190="","",IF(IF(ISNUMBER(C190),C190,0)=0,IFERROR(LOOKUP(2,1/(A$4:A189=A190),G$4:G189),IF(ISNUMBER(D190),D190,"")),IF(IFERROR(LOOKUP(2,1/(A$4:A189=A190),F$4:F189),0)&lt;=0,D190,(MAX(0,IFERROR(LOOKUP(2,1/(A$4:A189=A190),F$4:F189),0))*IFERROR(LOOKUP(2,1/(A$4:A189=A190),G$4:G189),0)+C190*D190)/(MAX(0,IFERROR(LOOKUP(2,1/(A$4:A189=A190),F$4:F189),0))+C190))))</f>
        <v/>
      </c>
      <c r="I190" s="7"/>
    </row>
    <row r="191" spans="1:9" x14ac:dyDescent="0.4">
      <c r="A191" s="4"/>
      <c r="B191" s="5"/>
      <c r="C191" s="6"/>
      <c r="D191" s="7"/>
      <c r="E191" s="6"/>
      <c r="F191" s="6" t="str">
        <f>IF(A191="","",IFERROR(LOOKUP(2,1/(A$4:A190=A191),F$4:F190),0)+IF(ISNUMBER(C191),C191,0)-IF(ISNUMBER(E191),E191,0))</f>
        <v/>
      </c>
      <c r="G191" s="11" t="str">
        <f>IF(A191="","",IF(IF(ISNUMBER(C191),C191,0)=0,IFERROR(LOOKUP(2,1/(A$4:A190=A191),G$4:G190),IF(ISNUMBER(D191),D191,"")),IF(IFERROR(LOOKUP(2,1/(A$4:A190=A191),F$4:F190),0)&lt;=0,D191,(MAX(0,IFERROR(LOOKUP(2,1/(A$4:A190=A191),F$4:F190),0))*IFERROR(LOOKUP(2,1/(A$4:A190=A191),G$4:G190),0)+C191*D191)/(MAX(0,IFERROR(LOOKUP(2,1/(A$4:A190=A191),F$4:F190),0))+C191))))</f>
        <v/>
      </c>
      <c r="I191" s="7"/>
    </row>
    <row r="192" spans="1:9" x14ac:dyDescent="0.4">
      <c r="A192" s="4"/>
      <c r="B192" s="5"/>
      <c r="C192" s="6"/>
      <c r="D192" s="7"/>
      <c r="E192" s="6"/>
      <c r="F192" s="6" t="str">
        <f>IF(A192="","",IFERROR(LOOKUP(2,1/(A$4:A191=A192),F$4:F191),0)+IF(ISNUMBER(C192),C192,0)-IF(ISNUMBER(E192),E192,0))</f>
        <v/>
      </c>
      <c r="G192" s="11" t="str">
        <f>IF(A192="","",IF(IF(ISNUMBER(C192),C192,0)=0,IFERROR(LOOKUP(2,1/(A$4:A191=A192),G$4:G191),IF(ISNUMBER(D192),D192,"")),IF(IFERROR(LOOKUP(2,1/(A$4:A191=A192),F$4:F191),0)&lt;=0,D192,(MAX(0,IFERROR(LOOKUP(2,1/(A$4:A191=A192),F$4:F191),0))*IFERROR(LOOKUP(2,1/(A$4:A191=A192),G$4:G191),0)+C192*D192)/(MAX(0,IFERROR(LOOKUP(2,1/(A$4:A191=A192),F$4:F191),0))+C192))))</f>
        <v/>
      </c>
      <c r="I192" s="7"/>
    </row>
    <row r="193" spans="1:9" x14ac:dyDescent="0.4">
      <c r="A193" s="4"/>
      <c r="B193" s="5"/>
      <c r="C193" s="6"/>
      <c r="D193" s="7"/>
      <c r="E193" s="6"/>
      <c r="F193" s="6" t="str">
        <f>IF(A193="","",IFERROR(LOOKUP(2,1/(A$4:A192=A193),F$4:F192),0)+IF(ISNUMBER(C193),C193,0)-IF(ISNUMBER(E193),E193,0))</f>
        <v/>
      </c>
      <c r="G193" s="11" t="str">
        <f>IF(A193="","",IF(IF(ISNUMBER(C193),C193,0)=0,IFERROR(LOOKUP(2,1/(A$4:A192=A193),G$4:G192),IF(ISNUMBER(D193),D193,"")),IF(IFERROR(LOOKUP(2,1/(A$4:A192=A193),F$4:F192),0)&lt;=0,D193,(MAX(0,IFERROR(LOOKUP(2,1/(A$4:A192=A193),F$4:F192),0))*IFERROR(LOOKUP(2,1/(A$4:A192=A193),G$4:G192),0)+C193*D193)/(MAX(0,IFERROR(LOOKUP(2,1/(A$4:A192=A193),F$4:F192),0))+C193))))</f>
        <v/>
      </c>
      <c r="I193" s="7"/>
    </row>
    <row r="194" spans="1:9" x14ac:dyDescent="0.4">
      <c r="A194" s="4"/>
      <c r="B194" s="5"/>
      <c r="C194" s="6"/>
      <c r="D194" s="7"/>
      <c r="E194" s="6"/>
      <c r="F194" s="6" t="str">
        <f>IF(A194="","",IFERROR(LOOKUP(2,1/(A$4:A193=A194),F$4:F193),0)+IF(ISNUMBER(C194),C194,0)-IF(ISNUMBER(E194),E194,0))</f>
        <v/>
      </c>
      <c r="G194" s="11" t="str">
        <f>IF(A194="","",IF(IF(ISNUMBER(C194),C194,0)=0,IFERROR(LOOKUP(2,1/(A$4:A193=A194),G$4:G193),IF(ISNUMBER(D194),D194,"")),IF(IFERROR(LOOKUP(2,1/(A$4:A193=A194),F$4:F193),0)&lt;=0,D194,(MAX(0,IFERROR(LOOKUP(2,1/(A$4:A193=A194),F$4:F193),0))*IFERROR(LOOKUP(2,1/(A$4:A193=A194),G$4:G193),0)+C194*D194)/(MAX(0,IFERROR(LOOKUP(2,1/(A$4:A193=A194),F$4:F193),0))+C194))))</f>
        <v/>
      </c>
      <c r="I194" s="7"/>
    </row>
    <row r="195" spans="1:9" x14ac:dyDescent="0.4">
      <c r="A195" s="4"/>
      <c r="B195" s="5"/>
      <c r="C195" s="6"/>
      <c r="D195" s="7"/>
      <c r="E195" s="6"/>
      <c r="F195" s="6" t="str">
        <f>IF(A195="","",IFERROR(LOOKUP(2,1/(A$4:A194=A195),F$4:F194),0)+IF(ISNUMBER(C195),C195,0)-IF(ISNUMBER(E195),E195,0))</f>
        <v/>
      </c>
      <c r="G195" s="11" t="str">
        <f>IF(A195="","",IF(IF(ISNUMBER(C195),C195,0)=0,IFERROR(LOOKUP(2,1/(A$4:A194=A195),G$4:G194),IF(ISNUMBER(D195),D195,"")),IF(IFERROR(LOOKUP(2,1/(A$4:A194=A195),F$4:F194),0)&lt;=0,D195,(MAX(0,IFERROR(LOOKUP(2,1/(A$4:A194=A195),F$4:F194),0))*IFERROR(LOOKUP(2,1/(A$4:A194=A195),G$4:G194),0)+C195*D195)/(MAX(0,IFERROR(LOOKUP(2,1/(A$4:A194=A195),F$4:F194),0))+C195))))</f>
        <v/>
      </c>
      <c r="I195" s="7"/>
    </row>
    <row r="196" spans="1:9" x14ac:dyDescent="0.4">
      <c r="A196" s="4"/>
      <c r="B196" s="5"/>
      <c r="C196" s="6"/>
      <c r="D196" s="7"/>
      <c r="E196" s="6"/>
      <c r="F196" s="6" t="str">
        <f>IF(A196="","",IFERROR(LOOKUP(2,1/(A$4:A195=A196),F$4:F195),0)+IF(ISNUMBER(C196),C196,0)-IF(ISNUMBER(E196),E196,0))</f>
        <v/>
      </c>
      <c r="G196" s="11" t="str">
        <f>IF(A196="","",IF(IF(ISNUMBER(C196),C196,0)=0,IFERROR(LOOKUP(2,1/(A$4:A195=A196),G$4:G195),IF(ISNUMBER(D196),D196,"")),IF(IFERROR(LOOKUP(2,1/(A$4:A195=A196),F$4:F195),0)&lt;=0,D196,(MAX(0,IFERROR(LOOKUP(2,1/(A$4:A195=A196),F$4:F195),0))*IFERROR(LOOKUP(2,1/(A$4:A195=A196),G$4:G195),0)+C196*D196)/(MAX(0,IFERROR(LOOKUP(2,1/(A$4:A195=A196),F$4:F195),0))+C196))))</f>
        <v/>
      </c>
      <c r="I196" s="7"/>
    </row>
    <row r="197" spans="1:9" x14ac:dyDescent="0.4">
      <c r="A197" s="4"/>
      <c r="B197" s="5"/>
      <c r="C197" s="6"/>
      <c r="D197" s="7"/>
      <c r="E197" s="6"/>
      <c r="F197" s="6" t="str">
        <f>IF(A197="","",IFERROR(LOOKUP(2,1/(A$4:A196=A197),F$4:F196),0)+IF(ISNUMBER(C197),C197,0)-IF(ISNUMBER(E197),E197,0))</f>
        <v/>
      </c>
      <c r="G197" s="11" t="str">
        <f>IF(A197="","",IF(IF(ISNUMBER(C197),C197,0)=0,IFERROR(LOOKUP(2,1/(A$4:A196=A197),G$4:G196),IF(ISNUMBER(D197),D197,"")),IF(IFERROR(LOOKUP(2,1/(A$4:A196=A197),F$4:F196),0)&lt;=0,D197,(MAX(0,IFERROR(LOOKUP(2,1/(A$4:A196=A197),F$4:F196),0))*IFERROR(LOOKUP(2,1/(A$4:A196=A197),G$4:G196),0)+C197*D197)/(MAX(0,IFERROR(LOOKUP(2,1/(A$4:A196=A197),F$4:F196),0))+C197))))</f>
        <v/>
      </c>
      <c r="I197" s="7"/>
    </row>
    <row r="198" spans="1:9" x14ac:dyDescent="0.4">
      <c r="A198" s="4"/>
      <c r="B198" s="5"/>
      <c r="C198" s="6"/>
      <c r="D198" s="7"/>
      <c r="E198" s="6"/>
      <c r="F198" s="6" t="str">
        <f>IF(A198="","",IFERROR(LOOKUP(2,1/(A$4:A197=A198),F$4:F197),0)+IF(ISNUMBER(C198),C198,0)-IF(ISNUMBER(E198),E198,0))</f>
        <v/>
      </c>
      <c r="G198" s="11" t="str">
        <f>IF(A198="","",IF(IF(ISNUMBER(C198),C198,0)=0,IFERROR(LOOKUP(2,1/(A$4:A197=A198),G$4:G197),IF(ISNUMBER(D198),D198,"")),IF(IFERROR(LOOKUP(2,1/(A$4:A197=A198),F$4:F197),0)&lt;=0,D198,(MAX(0,IFERROR(LOOKUP(2,1/(A$4:A197=A198),F$4:F197),0))*IFERROR(LOOKUP(2,1/(A$4:A197=A198),G$4:G197),0)+C198*D198)/(MAX(0,IFERROR(LOOKUP(2,1/(A$4:A197=A198),F$4:F197),0))+C198))))</f>
        <v/>
      </c>
      <c r="I198" s="7"/>
    </row>
    <row r="199" spans="1:9" x14ac:dyDescent="0.4">
      <c r="A199" s="4"/>
      <c r="B199" s="5"/>
      <c r="C199" s="6"/>
      <c r="D199" s="7"/>
      <c r="E199" s="6"/>
      <c r="F199" s="6" t="str">
        <f>IF(A199="","",IFERROR(LOOKUP(2,1/(A$4:A198=A199),F$4:F198),0)+IF(ISNUMBER(C199),C199,0)-IF(ISNUMBER(E199),E199,0))</f>
        <v/>
      </c>
      <c r="G199" s="11" t="str">
        <f>IF(A199="","",IF(IF(ISNUMBER(C199),C199,0)=0,IFERROR(LOOKUP(2,1/(A$4:A198=A199),G$4:G198),IF(ISNUMBER(D199),D199,"")),IF(IFERROR(LOOKUP(2,1/(A$4:A198=A199),F$4:F198),0)&lt;=0,D199,(MAX(0,IFERROR(LOOKUP(2,1/(A$4:A198=A199),F$4:F198),0))*IFERROR(LOOKUP(2,1/(A$4:A198=A199),G$4:G198),0)+C199*D199)/(MAX(0,IFERROR(LOOKUP(2,1/(A$4:A198=A199),F$4:F198),0))+C199))))</f>
        <v/>
      </c>
      <c r="I199" s="7"/>
    </row>
    <row r="200" spans="1:9" x14ac:dyDescent="0.4">
      <c r="A200" s="4"/>
      <c r="B200" s="5"/>
      <c r="C200" s="6"/>
      <c r="D200" s="7"/>
      <c r="E200" s="6"/>
      <c r="F200" s="6" t="str">
        <f>IF(A200="","",IFERROR(LOOKUP(2,1/(A$4:A199=A200),F$4:F199),0)+IF(ISNUMBER(C200),C200,0)-IF(ISNUMBER(E200),E200,0))</f>
        <v/>
      </c>
      <c r="G200" s="11" t="str">
        <f>IF(A200="","",IF(IF(ISNUMBER(C200),C200,0)=0,IFERROR(LOOKUP(2,1/(A$4:A199=A200),G$4:G199),IF(ISNUMBER(D200),D200,"")),IF(IFERROR(LOOKUP(2,1/(A$4:A199=A200),F$4:F199),0)&lt;=0,D200,(MAX(0,IFERROR(LOOKUP(2,1/(A$4:A199=A200),F$4:F199),0))*IFERROR(LOOKUP(2,1/(A$4:A199=A200),G$4:G199),0)+C200*D200)/(MAX(0,IFERROR(LOOKUP(2,1/(A$4:A199=A200),F$4:F199),0))+C200))))</f>
        <v/>
      </c>
      <c r="I200" s="7"/>
    </row>
    <row r="201" spans="1:9" x14ac:dyDescent="0.4">
      <c r="A201" s="4"/>
      <c r="B201" s="5"/>
      <c r="C201" s="6"/>
      <c r="D201" s="7"/>
      <c r="E201" s="6"/>
      <c r="F201" s="6" t="str">
        <f>IF(A201="","",IFERROR(LOOKUP(2,1/(A$4:A200=A201),F$4:F200),0)+IF(ISNUMBER(C201),C201,0)-IF(ISNUMBER(E201),E201,0))</f>
        <v/>
      </c>
      <c r="G201" s="11" t="str">
        <f>IF(A201="","",IF(IF(ISNUMBER(C201),C201,0)=0,IFERROR(LOOKUP(2,1/(A$4:A200=A201),G$4:G200),IF(ISNUMBER(D201),D201,"")),IF(IFERROR(LOOKUP(2,1/(A$4:A200=A201),F$4:F200),0)&lt;=0,D201,(MAX(0,IFERROR(LOOKUP(2,1/(A$4:A200=A201),F$4:F200),0))*IFERROR(LOOKUP(2,1/(A$4:A200=A201),G$4:G200),0)+C201*D201)/(MAX(0,IFERROR(LOOKUP(2,1/(A$4:A200=A201),F$4:F200),0))+C201))))</f>
        <v/>
      </c>
      <c r="I201" s="7"/>
    </row>
    <row r="202" spans="1:9" x14ac:dyDescent="0.4">
      <c r="A202" s="4"/>
      <c r="B202" s="5"/>
      <c r="C202" s="6"/>
      <c r="D202" s="7"/>
      <c r="E202" s="6"/>
      <c r="F202" s="6" t="str">
        <f>IF(A202="","",IFERROR(LOOKUP(2,1/(A$4:A201=A202),F$4:F201),0)+IF(ISNUMBER(C202),C202,0)-IF(ISNUMBER(E202),E202,0))</f>
        <v/>
      </c>
      <c r="G202" s="11" t="str">
        <f>IF(A202="","",IF(IF(ISNUMBER(C202),C202,0)=0,IFERROR(LOOKUP(2,1/(A$4:A201=A202),G$4:G201),IF(ISNUMBER(D202),D202,"")),IF(IFERROR(LOOKUP(2,1/(A$4:A201=A202),F$4:F201),0)&lt;=0,D202,(MAX(0,IFERROR(LOOKUP(2,1/(A$4:A201=A202),F$4:F201),0))*IFERROR(LOOKUP(2,1/(A$4:A201=A202),G$4:G201),0)+C202*D202)/(MAX(0,IFERROR(LOOKUP(2,1/(A$4:A201=A202),F$4:F201),0))+C202))))</f>
        <v/>
      </c>
      <c r="I202" s="7"/>
    </row>
    <row r="203" spans="1:9" x14ac:dyDescent="0.4">
      <c r="A203" s="4"/>
      <c r="B203" s="5"/>
      <c r="C203" s="6"/>
      <c r="D203" s="7"/>
      <c r="E203" s="6"/>
      <c r="F203" s="6" t="str">
        <f>IF(A203="","",IFERROR(LOOKUP(2,1/(A$4:A202=A203),F$4:F202),0)+IF(ISNUMBER(C203),C203,0)-IF(ISNUMBER(E203),E203,0))</f>
        <v/>
      </c>
      <c r="G203" s="11" t="str">
        <f>IF(A203="","",IF(IF(ISNUMBER(C203),C203,0)=0,IFERROR(LOOKUP(2,1/(A$4:A202=A203),G$4:G202),IF(ISNUMBER(D203),D203,"")),IF(IFERROR(LOOKUP(2,1/(A$4:A202=A203),F$4:F202),0)&lt;=0,D203,(MAX(0,IFERROR(LOOKUP(2,1/(A$4:A202=A203),F$4:F202),0))*IFERROR(LOOKUP(2,1/(A$4:A202=A203),G$4:G202),0)+C203*D203)/(MAX(0,IFERROR(LOOKUP(2,1/(A$4:A202=A203),F$4:F202),0))+C203))))</f>
        <v/>
      </c>
      <c r="I203" s="7"/>
    </row>
    <row r="204" spans="1:9" x14ac:dyDescent="0.4">
      <c r="A204" s="4"/>
      <c r="B204" s="5"/>
      <c r="C204" s="6"/>
      <c r="D204" s="7"/>
      <c r="E204" s="6"/>
      <c r="F204" s="6" t="str">
        <f>IF(A204="","",IFERROR(LOOKUP(2,1/(A$4:A203=A204),F$4:F203),0)+IF(ISNUMBER(C204),C204,0)-IF(ISNUMBER(E204),E204,0))</f>
        <v/>
      </c>
      <c r="G204" s="11" t="str">
        <f>IF(A204="","",IF(IF(ISNUMBER(C204),C204,0)=0,IFERROR(LOOKUP(2,1/(A$4:A203=A204),G$4:G203),IF(ISNUMBER(D204),D204,"")),IF(IFERROR(LOOKUP(2,1/(A$4:A203=A204),F$4:F203),0)&lt;=0,D204,(MAX(0,IFERROR(LOOKUP(2,1/(A$4:A203=A204),F$4:F203),0))*IFERROR(LOOKUP(2,1/(A$4:A203=A204),G$4:G203),0)+C204*D204)/(MAX(0,IFERROR(LOOKUP(2,1/(A$4:A203=A204),F$4:F203),0))+C204))))</f>
        <v/>
      </c>
      <c r="I204" s="7"/>
    </row>
    <row r="205" spans="1:9" x14ac:dyDescent="0.4">
      <c r="A205" s="4"/>
      <c r="B205" s="5"/>
      <c r="C205" s="6"/>
      <c r="D205" s="7"/>
      <c r="E205" s="6"/>
      <c r="F205" s="6" t="str">
        <f>IF(A205="","",IFERROR(LOOKUP(2,1/(A$4:A204=A205),F$4:F204),0)+IF(ISNUMBER(C205),C205,0)-IF(ISNUMBER(E205),E205,0))</f>
        <v/>
      </c>
      <c r="G205" s="11" t="str">
        <f>IF(A205="","",IF(IF(ISNUMBER(C205),C205,0)=0,IFERROR(LOOKUP(2,1/(A$4:A204=A205),G$4:G204),IF(ISNUMBER(D205),D205,"")),IF(IFERROR(LOOKUP(2,1/(A$4:A204=A205),F$4:F204),0)&lt;=0,D205,(MAX(0,IFERROR(LOOKUP(2,1/(A$4:A204=A205),F$4:F204),0))*IFERROR(LOOKUP(2,1/(A$4:A204=A205),G$4:G204),0)+C205*D205)/(MAX(0,IFERROR(LOOKUP(2,1/(A$4:A204=A205),F$4:F204),0))+C205))))</f>
        <v/>
      </c>
      <c r="I205" s="7"/>
    </row>
    <row r="206" spans="1:9" x14ac:dyDescent="0.4">
      <c r="A206" s="4"/>
      <c r="B206" s="5"/>
      <c r="C206" s="6"/>
      <c r="D206" s="7"/>
      <c r="E206" s="6"/>
      <c r="F206" s="6" t="str">
        <f>IF(A206="","",IFERROR(LOOKUP(2,1/(A$4:A205=A206),F$4:F205),0)+IF(ISNUMBER(C206),C206,0)-IF(ISNUMBER(E206),E206,0))</f>
        <v/>
      </c>
      <c r="G206" s="11" t="str">
        <f>IF(A206="","",IF(IF(ISNUMBER(C206),C206,0)=0,IFERROR(LOOKUP(2,1/(A$4:A205=A206),G$4:G205),IF(ISNUMBER(D206),D206,"")),IF(IFERROR(LOOKUP(2,1/(A$4:A205=A206),F$4:F205),0)&lt;=0,D206,(MAX(0,IFERROR(LOOKUP(2,1/(A$4:A205=A206),F$4:F205),0))*IFERROR(LOOKUP(2,1/(A$4:A205=A206),G$4:G205),0)+C206*D206)/(MAX(0,IFERROR(LOOKUP(2,1/(A$4:A205=A206),F$4:F205),0))+C206))))</f>
        <v/>
      </c>
      <c r="I206" s="7"/>
    </row>
    <row r="207" spans="1:9" x14ac:dyDescent="0.4">
      <c r="A207" s="4"/>
      <c r="B207" s="5"/>
      <c r="C207" s="6"/>
      <c r="D207" s="7"/>
      <c r="E207" s="6"/>
      <c r="F207" s="6" t="str">
        <f>IF(A207="","",IFERROR(LOOKUP(2,1/(A$4:A206=A207),F$4:F206),0)+IF(ISNUMBER(C207),C207,0)-IF(ISNUMBER(E207),E207,0))</f>
        <v/>
      </c>
      <c r="G207" s="11" t="str">
        <f>IF(A207="","",IF(IF(ISNUMBER(C207),C207,0)=0,IFERROR(LOOKUP(2,1/(A$4:A206=A207),G$4:G206),IF(ISNUMBER(D207),D207,"")),IF(IFERROR(LOOKUP(2,1/(A$4:A206=A207),F$4:F206),0)&lt;=0,D207,(MAX(0,IFERROR(LOOKUP(2,1/(A$4:A206=A207),F$4:F206),0))*IFERROR(LOOKUP(2,1/(A$4:A206=A207),G$4:G206),0)+C207*D207)/(MAX(0,IFERROR(LOOKUP(2,1/(A$4:A206=A207),F$4:F206),0))+C207))))</f>
        <v/>
      </c>
      <c r="I207" s="7"/>
    </row>
    <row r="208" spans="1:9" x14ac:dyDescent="0.4">
      <c r="A208" s="4"/>
      <c r="B208" s="5"/>
      <c r="C208" s="6"/>
      <c r="D208" s="7"/>
      <c r="E208" s="6"/>
      <c r="F208" s="6" t="str">
        <f>IF(A208="","",IFERROR(LOOKUP(2,1/(A$4:A207=A208),F$4:F207),0)+IF(ISNUMBER(C208),C208,0)-IF(ISNUMBER(E208),E208,0))</f>
        <v/>
      </c>
      <c r="G208" s="11" t="str">
        <f>IF(A208="","",IF(IF(ISNUMBER(C208),C208,0)=0,IFERROR(LOOKUP(2,1/(A$4:A207=A208),G$4:G207),IF(ISNUMBER(D208),D208,"")),IF(IFERROR(LOOKUP(2,1/(A$4:A207=A208),F$4:F207),0)&lt;=0,D208,(MAX(0,IFERROR(LOOKUP(2,1/(A$4:A207=A208),F$4:F207),0))*IFERROR(LOOKUP(2,1/(A$4:A207=A208),G$4:G207),0)+C208*D208)/(MAX(0,IFERROR(LOOKUP(2,1/(A$4:A207=A208),F$4:F207),0))+C208))))</f>
        <v/>
      </c>
      <c r="I208" s="7"/>
    </row>
    <row r="209" spans="1:9" x14ac:dyDescent="0.4">
      <c r="A209" s="4"/>
      <c r="B209" s="5"/>
      <c r="C209" s="6"/>
      <c r="D209" s="7"/>
      <c r="E209" s="6"/>
      <c r="F209" s="6" t="str">
        <f>IF(A209="","",IFERROR(LOOKUP(2,1/(A$4:A208=A209),F$4:F208),0)+IF(ISNUMBER(C209),C209,0)-IF(ISNUMBER(E209),E209,0))</f>
        <v/>
      </c>
      <c r="G209" s="11" t="str">
        <f>IF(A209="","",IF(IF(ISNUMBER(C209),C209,0)=0,IFERROR(LOOKUP(2,1/(A$4:A208=A209),G$4:G208),IF(ISNUMBER(D209),D209,"")),IF(IFERROR(LOOKUP(2,1/(A$4:A208=A209),F$4:F208),0)&lt;=0,D209,(MAX(0,IFERROR(LOOKUP(2,1/(A$4:A208=A209),F$4:F208),0))*IFERROR(LOOKUP(2,1/(A$4:A208=A209),G$4:G208),0)+C209*D209)/(MAX(0,IFERROR(LOOKUP(2,1/(A$4:A208=A209),F$4:F208),0))+C209))))</f>
        <v/>
      </c>
      <c r="I209" s="7"/>
    </row>
    <row r="210" spans="1:9" x14ac:dyDescent="0.4">
      <c r="A210" s="4"/>
      <c r="B210" s="5"/>
      <c r="C210" s="6"/>
      <c r="D210" s="7"/>
      <c r="E210" s="6"/>
      <c r="F210" s="6" t="str">
        <f>IF(A210="","",IFERROR(LOOKUP(2,1/(A$4:A209=A210),F$4:F209),0)+IF(ISNUMBER(C210),C210,0)-IF(ISNUMBER(E210),E210,0))</f>
        <v/>
      </c>
      <c r="G210" s="11" t="str">
        <f>IF(A210="","",IF(IF(ISNUMBER(C210),C210,0)=0,IFERROR(LOOKUP(2,1/(A$4:A209=A210),G$4:G209),IF(ISNUMBER(D210),D210,"")),IF(IFERROR(LOOKUP(2,1/(A$4:A209=A210),F$4:F209),0)&lt;=0,D210,(MAX(0,IFERROR(LOOKUP(2,1/(A$4:A209=A210),F$4:F209),0))*IFERROR(LOOKUP(2,1/(A$4:A209=A210),G$4:G209),0)+C210*D210)/(MAX(0,IFERROR(LOOKUP(2,1/(A$4:A209=A210),F$4:F209),0))+C210))))</f>
        <v/>
      </c>
      <c r="I210" s="7"/>
    </row>
    <row r="211" spans="1:9" x14ac:dyDescent="0.4">
      <c r="A211" s="4"/>
      <c r="B211" s="5"/>
      <c r="C211" s="6"/>
      <c r="D211" s="7"/>
      <c r="E211" s="6"/>
      <c r="F211" s="6" t="str">
        <f>IF(A211="","",IFERROR(LOOKUP(2,1/(A$4:A210=A211),F$4:F210),0)+IF(ISNUMBER(C211),C211,0)-IF(ISNUMBER(E211),E211,0))</f>
        <v/>
      </c>
      <c r="G211" s="11" t="str">
        <f>IF(A211="","",IF(IF(ISNUMBER(C211),C211,0)=0,IFERROR(LOOKUP(2,1/(A$4:A210=A211),G$4:G210),IF(ISNUMBER(D211),D211,"")),IF(IFERROR(LOOKUP(2,1/(A$4:A210=A211),F$4:F210),0)&lt;=0,D211,(MAX(0,IFERROR(LOOKUP(2,1/(A$4:A210=A211),F$4:F210),0))*IFERROR(LOOKUP(2,1/(A$4:A210=A211),G$4:G210),0)+C211*D211)/(MAX(0,IFERROR(LOOKUP(2,1/(A$4:A210=A211),F$4:F210),0))+C211))))</f>
        <v/>
      </c>
      <c r="I211" s="7"/>
    </row>
    <row r="212" spans="1:9" x14ac:dyDescent="0.4">
      <c r="A212" s="4"/>
      <c r="B212" s="5"/>
      <c r="C212" s="6"/>
      <c r="D212" s="7"/>
      <c r="E212" s="6"/>
      <c r="F212" s="6" t="str">
        <f>IF(A212="","",IFERROR(LOOKUP(2,1/(A$4:A211=A212),F$4:F211),0)+IF(ISNUMBER(C212),C212,0)-IF(ISNUMBER(E212),E212,0))</f>
        <v/>
      </c>
      <c r="G212" s="11" t="str">
        <f>IF(A212="","",IF(IF(ISNUMBER(C212),C212,0)=0,IFERROR(LOOKUP(2,1/(A$4:A211=A212),G$4:G211),IF(ISNUMBER(D212),D212,"")),IF(IFERROR(LOOKUP(2,1/(A$4:A211=A212),F$4:F211),0)&lt;=0,D212,(MAX(0,IFERROR(LOOKUP(2,1/(A$4:A211=A212),F$4:F211),0))*IFERROR(LOOKUP(2,1/(A$4:A211=A212),G$4:G211),0)+C212*D212)/(MAX(0,IFERROR(LOOKUP(2,1/(A$4:A211=A212),F$4:F211),0))+C212))))</f>
        <v/>
      </c>
      <c r="I212" s="7"/>
    </row>
    <row r="213" spans="1:9" x14ac:dyDescent="0.4">
      <c r="A213" s="4"/>
      <c r="B213" s="5"/>
      <c r="C213" s="6"/>
      <c r="D213" s="7"/>
      <c r="E213" s="6"/>
      <c r="F213" s="6" t="str">
        <f>IF(A213="","",IFERROR(LOOKUP(2,1/(A$4:A212=A213),F$4:F212),0)+IF(ISNUMBER(C213),C213,0)-IF(ISNUMBER(E213),E213,0))</f>
        <v/>
      </c>
      <c r="G213" s="11" t="str">
        <f>IF(A213="","",IF(IF(ISNUMBER(C213),C213,0)=0,IFERROR(LOOKUP(2,1/(A$4:A212=A213),G$4:G212),IF(ISNUMBER(D213),D213,"")),IF(IFERROR(LOOKUP(2,1/(A$4:A212=A213),F$4:F212),0)&lt;=0,D213,(MAX(0,IFERROR(LOOKUP(2,1/(A$4:A212=A213),F$4:F212),0))*IFERROR(LOOKUP(2,1/(A$4:A212=A213),G$4:G212),0)+C213*D213)/(MAX(0,IFERROR(LOOKUP(2,1/(A$4:A212=A213),F$4:F212),0))+C213))))</f>
        <v/>
      </c>
      <c r="I213" s="7"/>
    </row>
    <row r="214" spans="1:9" x14ac:dyDescent="0.4">
      <c r="A214" s="4"/>
      <c r="B214" s="5"/>
      <c r="C214" s="6"/>
      <c r="D214" s="7"/>
      <c r="E214" s="6"/>
      <c r="F214" s="6" t="str">
        <f>IF(A214="","",IFERROR(LOOKUP(2,1/(A$4:A213=A214),F$4:F213),0)+IF(ISNUMBER(C214),C214,0)-IF(ISNUMBER(E214),E214,0))</f>
        <v/>
      </c>
      <c r="G214" s="11" t="str">
        <f>IF(A214="","",IF(IF(ISNUMBER(C214),C214,0)=0,IFERROR(LOOKUP(2,1/(A$4:A213=A214),G$4:G213),IF(ISNUMBER(D214),D214,"")),IF(IFERROR(LOOKUP(2,1/(A$4:A213=A214),F$4:F213),0)&lt;=0,D214,(MAX(0,IFERROR(LOOKUP(2,1/(A$4:A213=A214),F$4:F213),0))*IFERROR(LOOKUP(2,1/(A$4:A213=A214),G$4:G213),0)+C214*D214)/(MAX(0,IFERROR(LOOKUP(2,1/(A$4:A213=A214),F$4:F213),0))+C214))))</f>
        <v/>
      </c>
      <c r="I214" s="7"/>
    </row>
    <row r="215" spans="1:9" x14ac:dyDescent="0.4">
      <c r="A215" s="4"/>
      <c r="B215" s="5"/>
      <c r="C215" s="6"/>
      <c r="D215" s="7"/>
      <c r="E215" s="6"/>
      <c r="F215" s="6" t="str">
        <f>IF(A215="","",IFERROR(LOOKUP(2,1/(A$4:A214=A215),F$4:F214),0)+IF(ISNUMBER(C215),C215,0)-IF(ISNUMBER(E215),E215,0))</f>
        <v/>
      </c>
      <c r="G215" s="11" t="str">
        <f>IF(A215="","",IF(IF(ISNUMBER(C215),C215,0)=0,IFERROR(LOOKUP(2,1/(A$4:A214=A215),G$4:G214),IF(ISNUMBER(D215),D215,"")),IF(IFERROR(LOOKUP(2,1/(A$4:A214=A215),F$4:F214),0)&lt;=0,D215,(MAX(0,IFERROR(LOOKUP(2,1/(A$4:A214=A215),F$4:F214),0))*IFERROR(LOOKUP(2,1/(A$4:A214=A215),G$4:G214),0)+C215*D215)/(MAX(0,IFERROR(LOOKUP(2,1/(A$4:A214=A215),F$4:F214),0))+C215))))</f>
        <v/>
      </c>
      <c r="I215" s="7"/>
    </row>
    <row r="216" spans="1:9" x14ac:dyDescent="0.4">
      <c r="A216" s="4"/>
      <c r="B216" s="5"/>
      <c r="C216" s="6"/>
      <c r="D216" s="7"/>
      <c r="E216" s="6"/>
      <c r="F216" s="6" t="str">
        <f>IF(A216="","",IFERROR(LOOKUP(2,1/(A$4:A215=A216),F$4:F215),0)+IF(ISNUMBER(C216),C216,0)-IF(ISNUMBER(E216),E216,0))</f>
        <v/>
      </c>
      <c r="G216" s="11" t="str">
        <f>IF(A216="","",IF(IF(ISNUMBER(C216),C216,0)=0,IFERROR(LOOKUP(2,1/(A$4:A215=A216),G$4:G215),IF(ISNUMBER(D216),D216,"")),IF(IFERROR(LOOKUP(2,1/(A$4:A215=A216),F$4:F215),0)&lt;=0,D216,(MAX(0,IFERROR(LOOKUP(2,1/(A$4:A215=A216),F$4:F215),0))*IFERROR(LOOKUP(2,1/(A$4:A215=A216),G$4:G215),0)+C216*D216)/(MAX(0,IFERROR(LOOKUP(2,1/(A$4:A215=A216),F$4:F215),0))+C216))))</f>
        <v/>
      </c>
      <c r="I216" s="7"/>
    </row>
    <row r="217" spans="1:9" x14ac:dyDescent="0.4">
      <c r="A217" s="4"/>
      <c r="B217" s="5"/>
      <c r="C217" s="6"/>
      <c r="D217" s="7"/>
      <c r="E217" s="6"/>
      <c r="F217" s="6" t="str">
        <f>IF(A217="","",IFERROR(LOOKUP(2,1/(A$4:A216=A217),F$4:F216),0)+IF(ISNUMBER(C217),C217,0)-IF(ISNUMBER(E217),E217,0))</f>
        <v/>
      </c>
      <c r="G217" s="11" t="str">
        <f>IF(A217="","",IF(IF(ISNUMBER(C217),C217,0)=0,IFERROR(LOOKUP(2,1/(A$4:A216=A217),G$4:G216),IF(ISNUMBER(D217),D217,"")),IF(IFERROR(LOOKUP(2,1/(A$4:A216=A217),F$4:F216),0)&lt;=0,D217,(MAX(0,IFERROR(LOOKUP(2,1/(A$4:A216=A217),F$4:F216),0))*IFERROR(LOOKUP(2,1/(A$4:A216=A217),G$4:G216),0)+C217*D217)/(MAX(0,IFERROR(LOOKUP(2,1/(A$4:A216=A217),F$4:F216),0))+C217))))</f>
        <v/>
      </c>
      <c r="I217" s="7"/>
    </row>
    <row r="218" spans="1:9" x14ac:dyDescent="0.4">
      <c r="A218" s="4"/>
      <c r="B218" s="5"/>
      <c r="C218" s="6"/>
      <c r="D218" s="7"/>
      <c r="E218" s="6"/>
      <c r="F218" s="6" t="str">
        <f>IF(A218="","",IFERROR(LOOKUP(2,1/(A$4:A217=A218),F$4:F217),0)+IF(ISNUMBER(C218),C218,0)-IF(ISNUMBER(E218),E218,0))</f>
        <v/>
      </c>
      <c r="G218" s="11" t="str">
        <f>IF(A218="","",IF(IF(ISNUMBER(C218),C218,0)=0,IFERROR(LOOKUP(2,1/(A$4:A217=A218),G$4:G217),IF(ISNUMBER(D218),D218,"")),IF(IFERROR(LOOKUP(2,1/(A$4:A217=A218),F$4:F217),0)&lt;=0,D218,(MAX(0,IFERROR(LOOKUP(2,1/(A$4:A217=A218),F$4:F217),0))*IFERROR(LOOKUP(2,1/(A$4:A217=A218),G$4:G217),0)+C218*D218)/(MAX(0,IFERROR(LOOKUP(2,1/(A$4:A217=A218),F$4:F217),0))+C218))))</f>
        <v/>
      </c>
      <c r="I218" s="7"/>
    </row>
    <row r="219" spans="1:9" x14ac:dyDescent="0.4">
      <c r="A219" s="4"/>
      <c r="B219" s="5"/>
      <c r="C219" s="6"/>
      <c r="D219" s="7"/>
      <c r="E219" s="6"/>
      <c r="F219" s="6" t="str">
        <f>IF(A219="","",IFERROR(LOOKUP(2,1/(A$4:A218=A219),F$4:F218),0)+IF(ISNUMBER(C219),C219,0)-IF(ISNUMBER(E219),E219,0))</f>
        <v/>
      </c>
      <c r="G219" s="11" t="str">
        <f>IF(A219="","",IF(IF(ISNUMBER(C219),C219,0)=0,IFERROR(LOOKUP(2,1/(A$4:A218=A219),G$4:G218),IF(ISNUMBER(D219),D219,"")),IF(IFERROR(LOOKUP(2,1/(A$4:A218=A219),F$4:F218),0)&lt;=0,D219,(MAX(0,IFERROR(LOOKUP(2,1/(A$4:A218=A219),F$4:F218),0))*IFERROR(LOOKUP(2,1/(A$4:A218=A219),G$4:G218),0)+C219*D219)/(MAX(0,IFERROR(LOOKUP(2,1/(A$4:A218=A219),F$4:F218),0))+C219))))</f>
        <v/>
      </c>
      <c r="I219" s="7"/>
    </row>
    <row r="220" spans="1:9" x14ac:dyDescent="0.4">
      <c r="A220" s="4"/>
      <c r="B220" s="5"/>
      <c r="C220" s="6"/>
      <c r="D220" s="7"/>
      <c r="E220" s="6"/>
      <c r="F220" s="6" t="str">
        <f>IF(A220="","",IFERROR(LOOKUP(2,1/(A$4:A219=A220),F$4:F219),0)+IF(ISNUMBER(C220),C220,0)-IF(ISNUMBER(E220),E220,0))</f>
        <v/>
      </c>
      <c r="G220" s="11" t="str">
        <f>IF(A220="","",IF(IF(ISNUMBER(C220),C220,0)=0,IFERROR(LOOKUP(2,1/(A$4:A219=A220),G$4:G219),IF(ISNUMBER(D220),D220,"")),IF(IFERROR(LOOKUP(2,1/(A$4:A219=A220),F$4:F219),0)&lt;=0,D220,(MAX(0,IFERROR(LOOKUP(2,1/(A$4:A219=A220),F$4:F219),0))*IFERROR(LOOKUP(2,1/(A$4:A219=A220),G$4:G219),0)+C220*D220)/(MAX(0,IFERROR(LOOKUP(2,1/(A$4:A219=A220),F$4:F219),0))+C220))))</f>
        <v/>
      </c>
      <c r="I220" s="7"/>
    </row>
    <row r="221" spans="1:9" x14ac:dyDescent="0.4">
      <c r="A221" s="4"/>
      <c r="B221" s="5"/>
      <c r="C221" s="6"/>
      <c r="D221" s="7"/>
      <c r="E221" s="6"/>
      <c r="F221" s="6" t="str">
        <f>IF(A221="","",IFERROR(LOOKUP(2,1/(A$4:A220=A221),F$4:F220),0)+IF(ISNUMBER(C221),C221,0)-IF(ISNUMBER(E221),E221,0))</f>
        <v/>
      </c>
      <c r="G221" s="11" t="str">
        <f>IF(A221="","",IF(IF(ISNUMBER(C221),C221,0)=0,IFERROR(LOOKUP(2,1/(A$4:A220=A221),G$4:G220),IF(ISNUMBER(D221),D221,"")),IF(IFERROR(LOOKUP(2,1/(A$4:A220=A221),F$4:F220),0)&lt;=0,D221,(MAX(0,IFERROR(LOOKUP(2,1/(A$4:A220=A221),F$4:F220),0))*IFERROR(LOOKUP(2,1/(A$4:A220=A221),G$4:G220),0)+C221*D221)/(MAX(0,IFERROR(LOOKUP(2,1/(A$4:A220=A221),F$4:F220),0))+C221))))</f>
        <v/>
      </c>
      <c r="I221" s="7"/>
    </row>
    <row r="222" spans="1:9" x14ac:dyDescent="0.4">
      <c r="A222" s="4"/>
      <c r="B222" s="5"/>
      <c r="C222" s="6"/>
      <c r="D222" s="7"/>
      <c r="E222" s="6"/>
      <c r="F222" s="6" t="str">
        <f>IF(A222="","",IFERROR(LOOKUP(2,1/(A$4:A221=A222),F$4:F221),0)+IF(ISNUMBER(C222),C222,0)-IF(ISNUMBER(E222),E222,0))</f>
        <v/>
      </c>
      <c r="G222" s="11" t="str">
        <f>IF(A222="","",IF(IF(ISNUMBER(C222),C222,0)=0,IFERROR(LOOKUP(2,1/(A$4:A221=A222),G$4:G221),IF(ISNUMBER(D222),D222,"")),IF(IFERROR(LOOKUP(2,1/(A$4:A221=A222),F$4:F221),0)&lt;=0,D222,(MAX(0,IFERROR(LOOKUP(2,1/(A$4:A221=A222),F$4:F221),0))*IFERROR(LOOKUP(2,1/(A$4:A221=A222),G$4:G221),0)+C222*D222)/(MAX(0,IFERROR(LOOKUP(2,1/(A$4:A221=A222),F$4:F221),0))+C222))))</f>
        <v/>
      </c>
      <c r="I222" s="7"/>
    </row>
    <row r="223" spans="1:9" x14ac:dyDescent="0.4">
      <c r="A223" s="4"/>
      <c r="B223" s="5"/>
      <c r="C223" s="6"/>
      <c r="D223" s="7"/>
      <c r="E223" s="6"/>
      <c r="F223" s="6" t="str">
        <f>IF(A223="","",IFERROR(LOOKUP(2,1/(A$4:A222=A223),F$4:F222),0)+IF(ISNUMBER(C223),C223,0)-IF(ISNUMBER(E223),E223,0))</f>
        <v/>
      </c>
      <c r="G223" s="11" t="str">
        <f>IF(A223="","",IF(IF(ISNUMBER(C223),C223,0)=0,IFERROR(LOOKUP(2,1/(A$4:A222=A223),G$4:G222),IF(ISNUMBER(D223),D223,"")),IF(IFERROR(LOOKUP(2,1/(A$4:A222=A223),F$4:F222),0)&lt;=0,D223,(MAX(0,IFERROR(LOOKUP(2,1/(A$4:A222=A223),F$4:F222),0))*IFERROR(LOOKUP(2,1/(A$4:A222=A223),G$4:G222),0)+C223*D223)/(MAX(0,IFERROR(LOOKUP(2,1/(A$4:A222=A223),F$4:F222),0))+C223))))</f>
        <v/>
      </c>
      <c r="I223" s="7"/>
    </row>
    <row r="224" spans="1:9" x14ac:dyDescent="0.4">
      <c r="A224" s="4"/>
      <c r="B224" s="5"/>
      <c r="C224" s="6"/>
      <c r="D224" s="7"/>
      <c r="E224" s="6"/>
      <c r="F224" s="6" t="str">
        <f>IF(A224="","",IFERROR(LOOKUP(2,1/(A$4:A223=A224),F$4:F223),0)+IF(ISNUMBER(C224),C224,0)-IF(ISNUMBER(E224),E224,0))</f>
        <v/>
      </c>
      <c r="G224" s="11" t="str">
        <f>IF(A224="","",IF(IF(ISNUMBER(C224),C224,0)=0,IFERROR(LOOKUP(2,1/(A$4:A223=A224),G$4:G223),IF(ISNUMBER(D224),D224,"")),IF(IFERROR(LOOKUP(2,1/(A$4:A223=A224),F$4:F223),0)&lt;=0,D224,(MAX(0,IFERROR(LOOKUP(2,1/(A$4:A223=A224),F$4:F223),0))*IFERROR(LOOKUP(2,1/(A$4:A223=A224),G$4:G223),0)+C224*D224)/(MAX(0,IFERROR(LOOKUP(2,1/(A$4:A223=A224),F$4:F223),0))+C224))))</f>
        <v/>
      </c>
      <c r="I224" s="7"/>
    </row>
    <row r="225" spans="1:9" x14ac:dyDescent="0.4">
      <c r="A225" s="4"/>
      <c r="B225" s="5"/>
      <c r="C225" s="6"/>
      <c r="D225" s="7"/>
      <c r="E225" s="6"/>
      <c r="F225" s="6" t="str">
        <f>IF(A225="","",IFERROR(LOOKUP(2,1/(A$4:A224=A225),F$4:F224),0)+IF(ISNUMBER(C225),C225,0)-IF(ISNUMBER(E225),E225,0))</f>
        <v/>
      </c>
      <c r="G225" s="11" t="str">
        <f>IF(A225="","",IF(IF(ISNUMBER(C225),C225,0)=0,IFERROR(LOOKUP(2,1/(A$4:A224=A225),G$4:G224),IF(ISNUMBER(D225),D225,"")),IF(IFERROR(LOOKUP(2,1/(A$4:A224=A225),F$4:F224),0)&lt;=0,D225,(MAX(0,IFERROR(LOOKUP(2,1/(A$4:A224=A225),F$4:F224),0))*IFERROR(LOOKUP(2,1/(A$4:A224=A225),G$4:G224),0)+C225*D225)/(MAX(0,IFERROR(LOOKUP(2,1/(A$4:A224=A225),F$4:F224),0))+C225))))</f>
        <v/>
      </c>
      <c r="I225" s="7"/>
    </row>
    <row r="226" spans="1:9" x14ac:dyDescent="0.4">
      <c r="A226" s="4"/>
      <c r="B226" s="5"/>
      <c r="C226" s="6"/>
      <c r="D226" s="7"/>
      <c r="E226" s="6"/>
      <c r="F226" s="6" t="str">
        <f>IF(A226="","",IFERROR(LOOKUP(2,1/(A$4:A225=A226),F$4:F225),0)+IF(ISNUMBER(C226),C226,0)-IF(ISNUMBER(E226),E226,0))</f>
        <v/>
      </c>
      <c r="G226" s="11" t="str">
        <f>IF(A226="","",IF(IF(ISNUMBER(C226),C226,0)=0,IFERROR(LOOKUP(2,1/(A$4:A225=A226),G$4:G225),IF(ISNUMBER(D226),D226,"")),IF(IFERROR(LOOKUP(2,1/(A$4:A225=A226),F$4:F225),0)&lt;=0,D226,(MAX(0,IFERROR(LOOKUP(2,1/(A$4:A225=A226),F$4:F225),0))*IFERROR(LOOKUP(2,1/(A$4:A225=A226),G$4:G225),0)+C226*D226)/(MAX(0,IFERROR(LOOKUP(2,1/(A$4:A225=A226),F$4:F225),0))+C226))))</f>
        <v/>
      </c>
      <c r="I226" s="7"/>
    </row>
    <row r="227" spans="1:9" x14ac:dyDescent="0.4">
      <c r="A227" s="4"/>
      <c r="B227" s="5"/>
      <c r="C227" s="6"/>
      <c r="D227" s="7"/>
      <c r="E227" s="6"/>
      <c r="F227" s="6" t="str">
        <f>IF(A227="","",IFERROR(LOOKUP(2,1/(A$4:A226=A227),F$4:F226),0)+IF(ISNUMBER(C227),C227,0)-IF(ISNUMBER(E227),E227,0))</f>
        <v/>
      </c>
      <c r="G227" s="11" t="str">
        <f>IF(A227="","",IF(IF(ISNUMBER(C227),C227,0)=0,IFERROR(LOOKUP(2,1/(A$4:A226=A227),G$4:G226),IF(ISNUMBER(D227),D227,"")),IF(IFERROR(LOOKUP(2,1/(A$4:A226=A227),F$4:F226),0)&lt;=0,D227,(MAX(0,IFERROR(LOOKUP(2,1/(A$4:A226=A227),F$4:F226),0))*IFERROR(LOOKUP(2,1/(A$4:A226=A227),G$4:G226),0)+C227*D227)/(MAX(0,IFERROR(LOOKUP(2,1/(A$4:A226=A227),F$4:F226),0))+C227))))</f>
        <v/>
      </c>
      <c r="I227" s="7"/>
    </row>
    <row r="228" spans="1:9" x14ac:dyDescent="0.4">
      <c r="A228" s="4"/>
      <c r="B228" s="5"/>
      <c r="C228" s="6"/>
      <c r="D228" s="7"/>
      <c r="E228" s="6"/>
      <c r="F228" s="6" t="str">
        <f>IF(A228="","",IFERROR(LOOKUP(2,1/(A$4:A227=A228),F$4:F227),0)+IF(ISNUMBER(C228),C228,0)-IF(ISNUMBER(E228),E228,0))</f>
        <v/>
      </c>
      <c r="G228" s="11" t="str">
        <f>IF(A228="","",IF(IF(ISNUMBER(C228),C228,0)=0,IFERROR(LOOKUP(2,1/(A$4:A227=A228),G$4:G227),IF(ISNUMBER(D228),D228,"")),IF(IFERROR(LOOKUP(2,1/(A$4:A227=A228),F$4:F227),0)&lt;=0,D228,(MAX(0,IFERROR(LOOKUP(2,1/(A$4:A227=A228),F$4:F227),0))*IFERROR(LOOKUP(2,1/(A$4:A227=A228),G$4:G227),0)+C228*D228)/(MAX(0,IFERROR(LOOKUP(2,1/(A$4:A227=A228),F$4:F227),0))+C228))))</f>
        <v/>
      </c>
      <c r="I228" s="7"/>
    </row>
    <row r="229" spans="1:9" x14ac:dyDescent="0.4">
      <c r="A229" s="4"/>
      <c r="B229" s="5"/>
      <c r="C229" s="6"/>
      <c r="D229" s="7"/>
      <c r="E229" s="6"/>
      <c r="F229" s="6" t="str">
        <f>IF(A229="","",IFERROR(LOOKUP(2,1/(A$4:A228=A229),F$4:F228),0)+IF(ISNUMBER(C229),C229,0)-IF(ISNUMBER(E229),E229,0))</f>
        <v/>
      </c>
      <c r="G229" s="11" t="str">
        <f>IF(A229="","",IF(IF(ISNUMBER(C229),C229,0)=0,IFERROR(LOOKUP(2,1/(A$4:A228=A229),G$4:G228),IF(ISNUMBER(D229),D229,"")),IF(IFERROR(LOOKUP(2,1/(A$4:A228=A229),F$4:F228),0)&lt;=0,D229,(MAX(0,IFERROR(LOOKUP(2,1/(A$4:A228=A229),F$4:F228),0))*IFERROR(LOOKUP(2,1/(A$4:A228=A229),G$4:G228),0)+C229*D229)/(MAX(0,IFERROR(LOOKUP(2,1/(A$4:A228=A229),F$4:F228),0))+C229))))</f>
        <v/>
      </c>
      <c r="I229" s="7"/>
    </row>
    <row r="230" spans="1:9" x14ac:dyDescent="0.4">
      <c r="A230" s="4"/>
      <c r="B230" s="5"/>
      <c r="C230" s="6"/>
      <c r="D230" s="7"/>
      <c r="E230" s="6"/>
      <c r="F230" s="6" t="str">
        <f>IF(A230="","",IFERROR(LOOKUP(2,1/(A$4:A229=A230),F$4:F229),0)+IF(ISNUMBER(C230),C230,0)-IF(ISNUMBER(E230),E230,0))</f>
        <v/>
      </c>
      <c r="G230" s="11" t="str">
        <f>IF(A230="","",IF(IF(ISNUMBER(C230),C230,0)=0,IFERROR(LOOKUP(2,1/(A$4:A229=A230),G$4:G229),IF(ISNUMBER(D230),D230,"")),IF(IFERROR(LOOKUP(2,1/(A$4:A229=A230),F$4:F229),0)&lt;=0,D230,(MAX(0,IFERROR(LOOKUP(2,1/(A$4:A229=A230),F$4:F229),0))*IFERROR(LOOKUP(2,1/(A$4:A229=A230),G$4:G229),0)+C230*D230)/(MAX(0,IFERROR(LOOKUP(2,1/(A$4:A229=A230),F$4:F229),0))+C230))))</f>
        <v/>
      </c>
      <c r="I230" s="7"/>
    </row>
    <row r="231" spans="1:9" x14ac:dyDescent="0.4">
      <c r="A231" s="4"/>
      <c r="B231" s="5"/>
      <c r="C231" s="6"/>
      <c r="D231" s="7"/>
      <c r="E231" s="6"/>
      <c r="F231" s="6" t="str">
        <f>IF(A231="","",IFERROR(LOOKUP(2,1/(A$4:A230=A231),F$4:F230),0)+IF(ISNUMBER(C231),C231,0)-IF(ISNUMBER(E231),E231,0))</f>
        <v/>
      </c>
      <c r="G231" s="11" t="str">
        <f>IF(A231="","",IF(IF(ISNUMBER(C231),C231,0)=0,IFERROR(LOOKUP(2,1/(A$4:A230=A231),G$4:G230),IF(ISNUMBER(D231),D231,"")),IF(IFERROR(LOOKUP(2,1/(A$4:A230=A231),F$4:F230),0)&lt;=0,D231,(MAX(0,IFERROR(LOOKUP(2,1/(A$4:A230=A231),F$4:F230),0))*IFERROR(LOOKUP(2,1/(A$4:A230=A231),G$4:G230),0)+C231*D231)/(MAX(0,IFERROR(LOOKUP(2,1/(A$4:A230=A231),F$4:F230),0))+C231))))</f>
        <v/>
      </c>
      <c r="I231" s="7"/>
    </row>
    <row r="232" spans="1:9" x14ac:dyDescent="0.4">
      <c r="A232" s="4"/>
      <c r="B232" s="5"/>
      <c r="C232" s="6"/>
      <c r="D232" s="7"/>
      <c r="E232" s="6"/>
      <c r="F232" s="6" t="str">
        <f>IF(A232="","",IFERROR(LOOKUP(2,1/(A$4:A231=A232),F$4:F231),0)+IF(ISNUMBER(C232),C232,0)-IF(ISNUMBER(E232),E232,0))</f>
        <v/>
      </c>
      <c r="G232" s="11" t="str">
        <f>IF(A232="","",IF(IF(ISNUMBER(C232),C232,0)=0,IFERROR(LOOKUP(2,1/(A$4:A231=A232),G$4:G231),IF(ISNUMBER(D232),D232,"")),IF(IFERROR(LOOKUP(2,1/(A$4:A231=A232),F$4:F231),0)&lt;=0,D232,(MAX(0,IFERROR(LOOKUP(2,1/(A$4:A231=A232),F$4:F231),0))*IFERROR(LOOKUP(2,1/(A$4:A231=A232),G$4:G231),0)+C232*D232)/(MAX(0,IFERROR(LOOKUP(2,1/(A$4:A231=A232),F$4:F231),0))+C232))))</f>
        <v/>
      </c>
      <c r="I232" s="7"/>
    </row>
    <row r="233" spans="1:9" x14ac:dyDescent="0.4">
      <c r="A233" s="4"/>
      <c r="B233" s="5"/>
      <c r="C233" s="6"/>
      <c r="D233" s="7"/>
      <c r="E233" s="6"/>
      <c r="F233" s="6" t="str">
        <f>IF(A233="","",IFERROR(LOOKUP(2,1/(A$4:A232=A233),F$4:F232),0)+IF(ISNUMBER(C233),C233,0)-IF(ISNUMBER(E233),E233,0))</f>
        <v/>
      </c>
      <c r="G233" s="11" t="str">
        <f>IF(A233="","",IF(IF(ISNUMBER(C233),C233,0)=0,IFERROR(LOOKUP(2,1/(A$4:A232=A233),G$4:G232),IF(ISNUMBER(D233),D233,"")),IF(IFERROR(LOOKUP(2,1/(A$4:A232=A233),F$4:F232),0)&lt;=0,D233,(MAX(0,IFERROR(LOOKUP(2,1/(A$4:A232=A233),F$4:F232),0))*IFERROR(LOOKUP(2,1/(A$4:A232=A233),G$4:G232),0)+C233*D233)/(MAX(0,IFERROR(LOOKUP(2,1/(A$4:A232=A233),F$4:F232),0))+C233))))</f>
        <v/>
      </c>
      <c r="I233" s="7"/>
    </row>
    <row r="234" spans="1:9" x14ac:dyDescent="0.4">
      <c r="A234" s="4"/>
      <c r="B234" s="5"/>
      <c r="C234" s="6"/>
      <c r="D234" s="7"/>
      <c r="E234" s="6"/>
      <c r="F234" s="6" t="str">
        <f>IF(A234="","",IFERROR(LOOKUP(2,1/(A$4:A233=A234),F$4:F233),0)+IF(ISNUMBER(C234),C234,0)-IF(ISNUMBER(E234),E234,0))</f>
        <v/>
      </c>
      <c r="G234" s="11" t="str">
        <f>IF(A234="","",IF(IF(ISNUMBER(C234),C234,0)=0,IFERROR(LOOKUP(2,1/(A$4:A233=A234),G$4:G233),IF(ISNUMBER(D234),D234,"")),IF(IFERROR(LOOKUP(2,1/(A$4:A233=A234),F$4:F233),0)&lt;=0,D234,(MAX(0,IFERROR(LOOKUP(2,1/(A$4:A233=A234),F$4:F233),0))*IFERROR(LOOKUP(2,1/(A$4:A233=A234),G$4:G233),0)+C234*D234)/(MAX(0,IFERROR(LOOKUP(2,1/(A$4:A233=A234),F$4:F233),0))+C234))))</f>
        <v/>
      </c>
      <c r="I234" s="7"/>
    </row>
    <row r="235" spans="1:9" x14ac:dyDescent="0.4">
      <c r="A235" s="4"/>
      <c r="B235" s="5"/>
      <c r="C235" s="6"/>
      <c r="D235" s="7"/>
      <c r="E235" s="6"/>
      <c r="F235" s="6" t="str">
        <f>IF(A235="","",IFERROR(LOOKUP(2,1/(A$4:A234=A235),F$4:F234),0)+IF(ISNUMBER(C235),C235,0)-IF(ISNUMBER(E235),E235,0))</f>
        <v/>
      </c>
      <c r="G235" s="11" t="str">
        <f>IF(A235="","",IF(IF(ISNUMBER(C235),C235,0)=0,IFERROR(LOOKUP(2,1/(A$4:A234=A235),G$4:G234),IF(ISNUMBER(D235),D235,"")),IF(IFERROR(LOOKUP(2,1/(A$4:A234=A235),F$4:F234),0)&lt;=0,D235,(MAX(0,IFERROR(LOOKUP(2,1/(A$4:A234=A235),F$4:F234),0))*IFERROR(LOOKUP(2,1/(A$4:A234=A235),G$4:G234),0)+C235*D235)/(MAX(0,IFERROR(LOOKUP(2,1/(A$4:A234=A235),F$4:F234),0))+C235))))</f>
        <v/>
      </c>
      <c r="I235" s="7"/>
    </row>
    <row r="236" spans="1:9" x14ac:dyDescent="0.4">
      <c r="A236" s="4"/>
      <c r="B236" s="5"/>
      <c r="C236" s="6"/>
      <c r="D236" s="7"/>
      <c r="E236" s="6"/>
      <c r="F236" s="6" t="str">
        <f>IF(A236="","",IFERROR(LOOKUP(2,1/(A$4:A235=A236),F$4:F235),0)+IF(ISNUMBER(C236),C236,0)-IF(ISNUMBER(E236),E236,0))</f>
        <v/>
      </c>
      <c r="G236" s="11" t="str">
        <f>IF(A236="","",IF(IF(ISNUMBER(C236),C236,0)=0,IFERROR(LOOKUP(2,1/(A$4:A235=A236),G$4:G235),IF(ISNUMBER(D236),D236,"")),IF(IFERROR(LOOKUP(2,1/(A$4:A235=A236),F$4:F235),0)&lt;=0,D236,(MAX(0,IFERROR(LOOKUP(2,1/(A$4:A235=A236),F$4:F235),0))*IFERROR(LOOKUP(2,1/(A$4:A235=A236),G$4:G235),0)+C236*D236)/(MAX(0,IFERROR(LOOKUP(2,1/(A$4:A235=A236),F$4:F235),0))+C236))))</f>
        <v/>
      </c>
      <c r="I236" s="7"/>
    </row>
    <row r="237" spans="1:9" x14ac:dyDescent="0.4">
      <c r="A237" s="4"/>
      <c r="B237" s="5"/>
      <c r="C237" s="6"/>
      <c r="D237" s="7"/>
      <c r="E237" s="6"/>
      <c r="F237" s="6" t="str">
        <f>IF(A237="","",IFERROR(LOOKUP(2,1/(A$4:A236=A237),F$4:F236),0)+IF(ISNUMBER(C237),C237,0)-IF(ISNUMBER(E237),E237,0))</f>
        <v/>
      </c>
      <c r="G237" s="11" t="str">
        <f>IF(A237="","",IF(IF(ISNUMBER(C237),C237,0)=0,IFERROR(LOOKUP(2,1/(A$4:A236=A237),G$4:G236),IF(ISNUMBER(D237),D237,"")),IF(IFERROR(LOOKUP(2,1/(A$4:A236=A237),F$4:F236),0)&lt;=0,D237,(MAX(0,IFERROR(LOOKUP(2,1/(A$4:A236=A237),F$4:F236),0))*IFERROR(LOOKUP(2,1/(A$4:A236=A237),G$4:G236),0)+C237*D237)/(MAX(0,IFERROR(LOOKUP(2,1/(A$4:A236=A237),F$4:F236),0))+C237))))</f>
        <v/>
      </c>
      <c r="I237" s="7"/>
    </row>
    <row r="238" spans="1:9" x14ac:dyDescent="0.4">
      <c r="A238" s="4"/>
      <c r="B238" s="5"/>
      <c r="C238" s="6"/>
      <c r="D238" s="7"/>
      <c r="E238" s="6"/>
      <c r="F238" s="6" t="str">
        <f>IF(A238="","",IFERROR(LOOKUP(2,1/(A$4:A237=A238),F$4:F237),0)+IF(ISNUMBER(C238),C238,0)-IF(ISNUMBER(E238),E238,0))</f>
        <v/>
      </c>
      <c r="G238" s="11" t="str">
        <f>IF(A238="","",IF(IF(ISNUMBER(C238),C238,0)=0,IFERROR(LOOKUP(2,1/(A$4:A237=A238),G$4:G237),IF(ISNUMBER(D238),D238,"")),IF(IFERROR(LOOKUP(2,1/(A$4:A237=A238),F$4:F237),0)&lt;=0,D238,(MAX(0,IFERROR(LOOKUP(2,1/(A$4:A237=A238),F$4:F237),0))*IFERROR(LOOKUP(2,1/(A$4:A237=A238),G$4:G237),0)+C238*D238)/(MAX(0,IFERROR(LOOKUP(2,1/(A$4:A237=A238),F$4:F237),0))+C238))))</f>
        <v/>
      </c>
      <c r="I238" s="7"/>
    </row>
    <row r="239" spans="1:9" x14ac:dyDescent="0.4">
      <c r="A239" s="4"/>
      <c r="B239" s="5"/>
      <c r="C239" s="6"/>
      <c r="D239" s="7"/>
      <c r="E239" s="6"/>
      <c r="F239" s="6" t="str">
        <f>IF(A239="","",IFERROR(LOOKUP(2,1/(A$4:A238=A239),F$4:F238),0)+IF(ISNUMBER(C239),C239,0)-IF(ISNUMBER(E239),E239,0))</f>
        <v/>
      </c>
      <c r="G239" s="11" t="str">
        <f>IF(A239="","",IF(IF(ISNUMBER(C239),C239,0)=0,IFERROR(LOOKUP(2,1/(A$4:A238=A239),G$4:G238),IF(ISNUMBER(D239),D239,"")),IF(IFERROR(LOOKUP(2,1/(A$4:A238=A239),F$4:F238),0)&lt;=0,D239,(MAX(0,IFERROR(LOOKUP(2,1/(A$4:A238=A239),F$4:F238),0))*IFERROR(LOOKUP(2,1/(A$4:A238=A239),G$4:G238),0)+C239*D239)/(MAX(0,IFERROR(LOOKUP(2,1/(A$4:A238=A239),F$4:F238),0))+C239))))</f>
        <v/>
      </c>
      <c r="I239" s="7"/>
    </row>
    <row r="240" spans="1:9" x14ac:dyDescent="0.4">
      <c r="A240" s="4"/>
      <c r="B240" s="5"/>
      <c r="C240" s="6"/>
      <c r="D240" s="7"/>
      <c r="E240" s="6"/>
      <c r="F240" s="6" t="str">
        <f>IF(A240="","",IFERROR(LOOKUP(2,1/(A$4:A239=A240),F$4:F239),0)+IF(ISNUMBER(C240),C240,0)-IF(ISNUMBER(E240),E240,0))</f>
        <v/>
      </c>
      <c r="G240" s="11" t="str">
        <f>IF(A240="","",IF(IF(ISNUMBER(C240),C240,0)=0,IFERROR(LOOKUP(2,1/(A$4:A239=A240),G$4:G239),IF(ISNUMBER(D240),D240,"")),IF(IFERROR(LOOKUP(2,1/(A$4:A239=A240),F$4:F239),0)&lt;=0,D240,(MAX(0,IFERROR(LOOKUP(2,1/(A$4:A239=A240),F$4:F239),0))*IFERROR(LOOKUP(2,1/(A$4:A239=A240),G$4:G239),0)+C240*D240)/(MAX(0,IFERROR(LOOKUP(2,1/(A$4:A239=A240),F$4:F239),0))+C240))))</f>
        <v/>
      </c>
      <c r="I240" s="7"/>
    </row>
    <row r="241" spans="1:9" x14ac:dyDescent="0.4">
      <c r="A241" s="4"/>
      <c r="B241" s="5"/>
      <c r="C241" s="6"/>
      <c r="D241" s="7"/>
      <c r="E241" s="6"/>
      <c r="F241" s="6" t="str">
        <f>IF(A241="","",IFERROR(LOOKUP(2,1/(A$4:A240=A241),F$4:F240),0)+IF(ISNUMBER(C241),C241,0)-IF(ISNUMBER(E241),E241,0))</f>
        <v/>
      </c>
      <c r="G241" s="11" t="str">
        <f>IF(A241="","",IF(IF(ISNUMBER(C241),C241,0)=0,IFERROR(LOOKUP(2,1/(A$4:A240=A241),G$4:G240),IF(ISNUMBER(D241),D241,"")),IF(IFERROR(LOOKUP(2,1/(A$4:A240=A241),F$4:F240),0)&lt;=0,D241,(MAX(0,IFERROR(LOOKUP(2,1/(A$4:A240=A241),F$4:F240),0))*IFERROR(LOOKUP(2,1/(A$4:A240=A241),G$4:G240),0)+C241*D241)/(MAX(0,IFERROR(LOOKUP(2,1/(A$4:A240=A241),F$4:F240),0))+C241))))</f>
        <v/>
      </c>
      <c r="I241" s="7"/>
    </row>
    <row r="242" spans="1:9" x14ac:dyDescent="0.4">
      <c r="A242" s="4"/>
      <c r="B242" s="5"/>
      <c r="C242" s="6"/>
      <c r="D242" s="7"/>
      <c r="E242" s="6"/>
      <c r="F242" s="6" t="str">
        <f>IF(A242="","",IFERROR(LOOKUP(2,1/(A$4:A241=A242),F$4:F241),0)+IF(ISNUMBER(C242),C242,0)-IF(ISNUMBER(E242),E242,0))</f>
        <v/>
      </c>
      <c r="G242" s="11" t="str">
        <f>IF(A242="","",IF(IF(ISNUMBER(C242),C242,0)=0,IFERROR(LOOKUP(2,1/(A$4:A241=A242),G$4:G241),IF(ISNUMBER(D242),D242,"")),IF(IFERROR(LOOKUP(2,1/(A$4:A241=A242),F$4:F241),0)&lt;=0,D242,(MAX(0,IFERROR(LOOKUP(2,1/(A$4:A241=A242),F$4:F241),0))*IFERROR(LOOKUP(2,1/(A$4:A241=A242),G$4:G241),0)+C242*D242)/(MAX(0,IFERROR(LOOKUP(2,1/(A$4:A241=A242),F$4:F241),0))+C242))))</f>
        <v/>
      </c>
      <c r="I242" s="7"/>
    </row>
    <row r="243" spans="1:9" x14ac:dyDescent="0.4">
      <c r="A243" s="4"/>
      <c r="B243" s="5"/>
      <c r="C243" s="6"/>
      <c r="D243" s="7"/>
      <c r="E243" s="6"/>
      <c r="F243" s="6" t="str">
        <f>IF(A243="","",IFERROR(LOOKUP(2,1/(A$4:A242=A243),F$4:F242),0)+IF(ISNUMBER(C243),C243,0)-IF(ISNUMBER(E243),E243,0))</f>
        <v/>
      </c>
      <c r="G243" s="11" t="str">
        <f>IF(A243="","",IF(IF(ISNUMBER(C243),C243,0)=0,IFERROR(LOOKUP(2,1/(A$4:A242=A243),G$4:G242),IF(ISNUMBER(D243),D243,"")),IF(IFERROR(LOOKUP(2,1/(A$4:A242=A243),F$4:F242),0)&lt;=0,D243,(MAX(0,IFERROR(LOOKUP(2,1/(A$4:A242=A243),F$4:F242),0))*IFERROR(LOOKUP(2,1/(A$4:A242=A243),G$4:G242),0)+C243*D243)/(MAX(0,IFERROR(LOOKUP(2,1/(A$4:A242=A243),F$4:F242),0))+C243))))</f>
        <v/>
      </c>
      <c r="I243" s="7"/>
    </row>
    <row r="244" spans="1:9" x14ac:dyDescent="0.4">
      <c r="A244" s="4"/>
      <c r="B244" s="5"/>
      <c r="C244" s="6"/>
      <c r="D244" s="7"/>
      <c r="E244" s="6"/>
      <c r="F244" s="6" t="str">
        <f>IF(A244="","",IFERROR(LOOKUP(2,1/(A$4:A243=A244),F$4:F243),0)+IF(ISNUMBER(C244),C244,0)-IF(ISNUMBER(E244),E244,0))</f>
        <v/>
      </c>
      <c r="G244" s="11" t="str">
        <f>IF(A244="","",IF(IF(ISNUMBER(C244),C244,0)=0,IFERROR(LOOKUP(2,1/(A$4:A243=A244),G$4:G243),IF(ISNUMBER(D244),D244,"")),IF(IFERROR(LOOKUP(2,1/(A$4:A243=A244),F$4:F243),0)&lt;=0,D244,(MAX(0,IFERROR(LOOKUP(2,1/(A$4:A243=A244),F$4:F243),0))*IFERROR(LOOKUP(2,1/(A$4:A243=A244),G$4:G243),0)+C244*D244)/(MAX(0,IFERROR(LOOKUP(2,1/(A$4:A243=A244),F$4:F243),0))+C244))))</f>
        <v/>
      </c>
      <c r="I244" s="7"/>
    </row>
    <row r="245" spans="1:9" x14ac:dyDescent="0.4">
      <c r="A245" s="4"/>
      <c r="B245" s="5"/>
      <c r="C245" s="6"/>
      <c r="D245" s="7"/>
      <c r="E245" s="6"/>
      <c r="F245" s="6" t="str">
        <f>IF(A245="","",IFERROR(LOOKUP(2,1/(A$4:A244=A245),F$4:F244),0)+IF(ISNUMBER(C245),C245,0)-IF(ISNUMBER(E245),E245,0))</f>
        <v/>
      </c>
      <c r="G245" s="11" t="str">
        <f>IF(A245="","",IF(IF(ISNUMBER(C245),C245,0)=0,IFERROR(LOOKUP(2,1/(A$4:A244=A245),G$4:G244),IF(ISNUMBER(D245),D245,"")),IF(IFERROR(LOOKUP(2,1/(A$4:A244=A245),F$4:F244),0)&lt;=0,D245,(MAX(0,IFERROR(LOOKUP(2,1/(A$4:A244=A245),F$4:F244),0))*IFERROR(LOOKUP(2,1/(A$4:A244=A245),G$4:G244),0)+C245*D245)/(MAX(0,IFERROR(LOOKUP(2,1/(A$4:A244=A245),F$4:F244),0))+C245))))</f>
        <v/>
      </c>
      <c r="I245" s="7"/>
    </row>
    <row r="246" spans="1:9" x14ac:dyDescent="0.4">
      <c r="A246" s="4"/>
      <c r="B246" s="5"/>
      <c r="C246" s="6"/>
      <c r="D246" s="7"/>
      <c r="E246" s="6"/>
      <c r="F246" s="6" t="str">
        <f>IF(A246="","",IFERROR(LOOKUP(2,1/(A$4:A245=A246),F$4:F245),0)+IF(ISNUMBER(C246),C246,0)-IF(ISNUMBER(E246),E246,0))</f>
        <v/>
      </c>
      <c r="G246" s="11" t="str">
        <f>IF(A246="","",IF(IF(ISNUMBER(C246),C246,0)=0,IFERROR(LOOKUP(2,1/(A$4:A245=A246),G$4:G245),IF(ISNUMBER(D246),D246,"")),IF(IFERROR(LOOKUP(2,1/(A$4:A245=A246),F$4:F245),0)&lt;=0,D246,(MAX(0,IFERROR(LOOKUP(2,1/(A$4:A245=A246),F$4:F245),0))*IFERROR(LOOKUP(2,1/(A$4:A245=A246),G$4:G245),0)+C246*D246)/(MAX(0,IFERROR(LOOKUP(2,1/(A$4:A245=A246),F$4:F245),0))+C246))))</f>
        <v/>
      </c>
      <c r="I246" s="7"/>
    </row>
    <row r="247" spans="1:9" x14ac:dyDescent="0.4">
      <c r="A247" s="4"/>
      <c r="B247" s="5"/>
      <c r="C247" s="6"/>
      <c r="D247" s="7"/>
      <c r="E247" s="6"/>
      <c r="F247" s="6" t="str">
        <f>IF(A247="","",IFERROR(LOOKUP(2,1/(A$4:A246=A247),F$4:F246),0)+IF(ISNUMBER(C247),C247,0)-IF(ISNUMBER(E247),E247,0))</f>
        <v/>
      </c>
      <c r="G247" s="11" t="str">
        <f>IF(A247="","",IF(IF(ISNUMBER(C247),C247,0)=0,IFERROR(LOOKUP(2,1/(A$4:A246=A247),G$4:G246),IF(ISNUMBER(D247),D247,"")),IF(IFERROR(LOOKUP(2,1/(A$4:A246=A247),F$4:F246),0)&lt;=0,D247,(MAX(0,IFERROR(LOOKUP(2,1/(A$4:A246=A247),F$4:F246),0))*IFERROR(LOOKUP(2,1/(A$4:A246=A247),G$4:G246),0)+C247*D247)/(MAX(0,IFERROR(LOOKUP(2,1/(A$4:A246=A247),F$4:F246),0))+C247))))</f>
        <v/>
      </c>
      <c r="I247" s="7"/>
    </row>
    <row r="248" spans="1:9" x14ac:dyDescent="0.4">
      <c r="A248" s="4"/>
      <c r="B248" s="5"/>
      <c r="C248" s="6"/>
      <c r="D248" s="7"/>
      <c r="E248" s="6"/>
      <c r="F248" s="6" t="str">
        <f>IF(A248="","",IFERROR(LOOKUP(2,1/(A$4:A247=A248),F$4:F247),0)+IF(ISNUMBER(C248),C248,0)-IF(ISNUMBER(E248),E248,0))</f>
        <v/>
      </c>
      <c r="G248" s="11" t="str">
        <f>IF(A248="","",IF(IF(ISNUMBER(C248),C248,0)=0,IFERROR(LOOKUP(2,1/(A$4:A247=A248),G$4:G247),IF(ISNUMBER(D248),D248,"")),IF(IFERROR(LOOKUP(2,1/(A$4:A247=A248),F$4:F247),0)&lt;=0,D248,(MAX(0,IFERROR(LOOKUP(2,1/(A$4:A247=A248),F$4:F247),0))*IFERROR(LOOKUP(2,1/(A$4:A247=A248),G$4:G247),0)+C248*D248)/(MAX(0,IFERROR(LOOKUP(2,1/(A$4:A247=A248),F$4:F247),0))+C248))))</f>
        <v/>
      </c>
      <c r="I248" s="7"/>
    </row>
    <row r="249" spans="1:9" x14ac:dyDescent="0.4">
      <c r="A249" s="4"/>
      <c r="B249" s="5"/>
      <c r="C249" s="6"/>
      <c r="D249" s="7"/>
      <c r="E249" s="6"/>
      <c r="F249" s="6" t="str">
        <f>IF(A249="","",IFERROR(LOOKUP(2,1/(A$4:A248=A249),F$4:F248),0)+IF(ISNUMBER(C249),C249,0)-IF(ISNUMBER(E249),E249,0))</f>
        <v/>
      </c>
      <c r="G249" s="11" t="str">
        <f>IF(A249="","",IF(IF(ISNUMBER(C249),C249,0)=0,IFERROR(LOOKUP(2,1/(A$4:A248=A249),G$4:G248),IF(ISNUMBER(D249),D249,"")),IF(IFERROR(LOOKUP(2,1/(A$4:A248=A249),F$4:F248),0)&lt;=0,D249,(MAX(0,IFERROR(LOOKUP(2,1/(A$4:A248=A249),F$4:F248),0))*IFERROR(LOOKUP(2,1/(A$4:A248=A249),G$4:G248),0)+C249*D249)/(MAX(0,IFERROR(LOOKUP(2,1/(A$4:A248=A249),F$4:F248),0))+C249))))</f>
        <v/>
      </c>
      <c r="I249" s="7"/>
    </row>
    <row r="250" spans="1:9" x14ac:dyDescent="0.4">
      <c r="A250" s="4"/>
      <c r="B250" s="5"/>
      <c r="C250" s="6"/>
      <c r="D250" s="7"/>
      <c r="E250" s="6"/>
      <c r="F250" s="6" t="str">
        <f>IF(A250="","",IFERROR(LOOKUP(2,1/(A$4:A249=A250),F$4:F249),0)+IF(ISNUMBER(C250),C250,0)-IF(ISNUMBER(E250),E250,0))</f>
        <v/>
      </c>
      <c r="G250" s="11" t="str">
        <f>IF(A250="","",IF(IF(ISNUMBER(C250),C250,0)=0,IFERROR(LOOKUP(2,1/(A$4:A249=A250),G$4:G249),IF(ISNUMBER(D250),D250,"")),IF(IFERROR(LOOKUP(2,1/(A$4:A249=A250),F$4:F249),0)&lt;=0,D250,(MAX(0,IFERROR(LOOKUP(2,1/(A$4:A249=A250),F$4:F249),0))*IFERROR(LOOKUP(2,1/(A$4:A249=A250),G$4:G249),0)+C250*D250)/(MAX(0,IFERROR(LOOKUP(2,1/(A$4:A249=A250),F$4:F249),0))+C250))))</f>
        <v/>
      </c>
      <c r="I250" s="7"/>
    </row>
    <row r="251" spans="1:9" x14ac:dyDescent="0.4">
      <c r="A251" s="4"/>
      <c r="B251" s="5"/>
      <c r="C251" s="6"/>
      <c r="D251" s="7"/>
      <c r="E251" s="6"/>
      <c r="F251" s="6" t="str">
        <f>IF(A251="","",IFERROR(LOOKUP(2,1/(A$4:A250=A251),F$4:F250),0)+IF(ISNUMBER(C251),C251,0)-IF(ISNUMBER(E251),E251,0))</f>
        <v/>
      </c>
      <c r="G251" s="11" t="str">
        <f>IF(A251="","",IF(IF(ISNUMBER(C251),C251,0)=0,IFERROR(LOOKUP(2,1/(A$4:A250=A251),G$4:G250),IF(ISNUMBER(D251),D251,"")),IF(IFERROR(LOOKUP(2,1/(A$4:A250=A251),F$4:F250),0)&lt;=0,D251,(MAX(0,IFERROR(LOOKUP(2,1/(A$4:A250=A251),F$4:F250),0))*IFERROR(LOOKUP(2,1/(A$4:A250=A251),G$4:G250),0)+C251*D251)/(MAX(0,IFERROR(LOOKUP(2,1/(A$4:A250=A251),F$4:F250),0))+C251))))</f>
        <v/>
      </c>
      <c r="I251" s="7"/>
    </row>
    <row r="252" spans="1:9" x14ac:dyDescent="0.4">
      <c r="A252" s="8" t="s">
        <v>32</v>
      </c>
      <c r="B252" s="8"/>
      <c r="C252" s="9">
        <f>SUM(C4:C251)</f>
        <v>17970</v>
      </c>
      <c r="D252" s="10">
        <f>IF(SUM(C4:C251)=0,0,SUMPRODUCT(C4:C251,D4:D251)/SUM(C4:C251))</f>
        <v>100.50227601558151</v>
      </c>
      <c r="E252" s="9">
        <f>SUM(E4:E251)</f>
        <v>15460</v>
      </c>
      <c r="F252" s="9">
        <f>SUM(F4:F251)</f>
        <v>44368</v>
      </c>
      <c r="G252" s="9">
        <f t="shared" ref="G252:I252" si="0">SUM(G4:G251)</f>
        <v>14424.356189894595</v>
      </c>
      <c r="I252" s="7"/>
    </row>
  </sheetData>
  <sortState ref="A4:G143">
    <sortCondition ref="A4:A143"/>
    <sortCondition ref="B4:B143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모델_마스터!$B$2:$B$9</xm:f>
          </x14:formula1>
          <xm:sqref>A4:A251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workbookViewId="0">
      <pane ySplit="3" topLeftCell="A4" activePane="bottomLeft" state="frozen"/>
      <selection activeCell="G8" sqref="G8"/>
      <selection pane="bottomLeft" activeCell="G8" sqref="G8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33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12</v>
      </c>
      <c r="B4" s="5">
        <v>45839</v>
      </c>
      <c r="C4" s="6"/>
      <c r="D4" s="7">
        <v>149.9</v>
      </c>
      <c r="E4" s="6"/>
      <c r="F4" s="6">
        <f>IF(A4="","",IF(ISNUMBER(C4),C4,0)-IF(ISNUMBER(E4),E4,0))</f>
        <v>0</v>
      </c>
      <c r="G4" s="11">
        <f>IF(A4="","",IF(IF(ISNUMBER(C4),C4,0)&lt;=0,IF(ISNUMBER(D4),D4,""),D4))</f>
        <v>149.9</v>
      </c>
      <c r="I4" s="7"/>
    </row>
    <row r="5" spans="1:9" x14ac:dyDescent="0.4">
      <c r="A5" s="4" t="s">
        <v>12</v>
      </c>
      <c r="B5" s="5">
        <v>46174</v>
      </c>
      <c r="C5" s="6">
        <v>84</v>
      </c>
      <c r="D5" s="7">
        <v>149.4</v>
      </c>
      <c r="E5" s="6">
        <v>37</v>
      </c>
      <c r="F5" s="6">
        <f>IF(A5="","",IFERROR(LOOKUP(2,1/(A$4:A4=A5),F$4:F4),0)+IF(ISNUMBER(C5),C5,0)-IF(ISNUMBER(E5),E5,0))</f>
        <v>47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149.4</v>
      </c>
      <c r="I5" s="7"/>
    </row>
    <row r="6" spans="1:9" x14ac:dyDescent="0.4">
      <c r="A6" s="4" t="s">
        <v>12</v>
      </c>
      <c r="B6" s="5">
        <v>46204</v>
      </c>
      <c r="C6" s="6">
        <v>213</v>
      </c>
      <c r="D6" s="7">
        <v>227</v>
      </c>
      <c r="E6" s="6">
        <v>10</v>
      </c>
      <c r="F6" s="6">
        <f>IF(A6="","",IFERROR(LOOKUP(2,1/(A$4:A5=A6),F$4:F5),0)+IF(ISNUMBER(C6),C6,0)-IF(ISNUMBER(E6),E6,0))</f>
        <v>250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212.97230769230771</v>
      </c>
      <c r="I6" s="7"/>
    </row>
    <row r="7" spans="1:9" x14ac:dyDescent="0.4">
      <c r="A7" s="4" t="s">
        <v>12</v>
      </c>
      <c r="B7" s="5">
        <v>46204</v>
      </c>
      <c r="C7" s="6">
        <v>10</v>
      </c>
      <c r="D7" s="7">
        <v>227</v>
      </c>
      <c r="E7" s="6"/>
      <c r="F7" s="6">
        <f>IF(A7="","",IFERROR(LOOKUP(2,1/(A$4:A6=A7),F$4:F6),0)+IF(ISNUMBER(C7),C7,0)-IF(ISNUMBER(E7),E7,0))</f>
        <v>260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213.51183431952666</v>
      </c>
      <c r="I7" s="7"/>
    </row>
    <row r="8" spans="1:9" x14ac:dyDescent="0.4">
      <c r="A8" s="4" t="s">
        <v>12</v>
      </c>
      <c r="B8" s="5">
        <v>46235</v>
      </c>
      <c r="C8" s="6">
        <v>37</v>
      </c>
      <c r="D8" s="7">
        <v>215.12</v>
      </c>
      <c r="E8" s="6">
        <v>10</v>
      </c>
      <c r="F8" s="6">
        <f>IF(A8="","",IFERROR(LOOKUP(2,1/(A$4:A7=A8),F$4:F7),0)+IF(ISNUMBER(C8),C8,0)-IF(ISNUMBER(E8),E8,0))</f>
        <v>287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213.71217819217821</v>
      </c>
      <c r="I8" s="7"/>
    </row>
    <row r="9" spans="1:9" x14ac:dyDescent="0.4">
      <c r="A9" s="4" t="s">
        <v>12</v>
      </c>
      <c r="B9" s="5">
        <v>46266</v>
      </c>
      <c r="C9" s="6"/>
      <c r="D9" s="7">
        <v>215.12</v>
      </c>
      <c r="E9" s="6"/>
      <c r="F9" s="6">
        <f>IF(A9="","",IFERROR(LOOKUP(2,1/(A$4:A8=A9),F$4:F8),0)+IF(ISNUMBER(C9),C9,0)-IF(ISNUMBER(E9),E9,0))</f>
        <v>287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213.71217819217821</v>
      </c>
      <c r="I9" s="7"/>
    </row>
    <row r="10" spans="1:9" x14ac:dyDescent="0.4">
      <c r="A10" s="4" t="s">
        <v>12</v>
      </c>
      <c r="B10" s="5">
        <v>46296</v>
      </c>
      <c r="C10" s="6"/>
      <c r="D10" s="7">
        <v>215.12</v>
      </c>
      <c r="E10" s="6"/>
      <c r="F10" s="6">
        <f>IF(A10="","",IFERROR(LOOKUP(2,1/(A$4:A9=A10),F$4:F9),0)+IF(ISNUMBER(C10),C10,0)-IF(ISNUMBER(E10),E10,0))</f>
        <v>287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213.71217819217821</v>
      </c>
      <c r="I10" s="7"/>
    </row>
    <row r="11" spans="1:9" x14ac:dyDescent="0.4">
      <c r="A11" s="4" t="s">
        <v>12</v>
      </c>
      <c r="B11" s="5">
        <v>46327</v>
      </c>
      <c r="C11" s="6"/>
      <c r="D11" s="7">
        <v>215.12</v>
      </c>
      <c r="E11" s="6"/>
      <c r="F11" s="6">
        <f>IF(A11="","",IFERROR(LOOKUP(2,1/(A$4:A10=A11),F$4:F10),0)+IF(ISNUMBER(C11),C11,0)-IF(ISNUMBER(E11),E11,0))</f>
        <v>287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213.71217819217821</v>
      </c>
      <c r="I11" s="7"/>
    </row>
    <row r="12" spans="1:9" x14ac:dyDescent="0.4">
      <c r="A12" s="4"/>
      <c r="B12" s="5"/>
      <c r="C12" s="6"/>
      <c r="D12" s="7"/>
      <c r="E12" s="6"/>
      <c r="F12" s="6" t="str">
        <f>IF(A12="","",IFERROR(LOOKUP(2,1/(A$4:A11=A12),F$4:F11),0)+IF(ISNUMBER(C12),C12,0)-IF(ISNUMBER(E12),E12,0))</f>
        <v/>
      </c>
      <c r="G12" s="11" t="str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/>
      </c>
      <c r="I12" s="7"/>
    </row>
    <row r="13" spans="1:9" x14ac:dyDescent="0.4">
      <c r="A13" s="4"/>
      <c r="B13" s="5"/>
      <c r="C13" s="6"/>
      <c r="D13" s="7"/>
      <c r="E13" s="6"/>
      <c r="F13" s="6" t="str">
        <f>IF(A13="","",IFERROR(LOOKUP(2,1/(A$4:A12=A13),F$4:F12),0)+IF(ISNUMBER(C13),C13,0)-IF(ISNUMBER(E13),E13,0))</f>
        <v/>
      </c>
      <c r="G13" s="11" t="str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/>
      </c>
      <c r="I13" s="7"/>
    </row>
    <row r="14" spans="1:9" x14ac:dyDescent="0.4">
      <c r="A14" s="4"/>
      <c r="B14" s="5"/>
      <c r="C14" s="6"/>
      <c r="D14" s="7"/>
      <c r="E14" s="6"/>
      <c r="F14" s="6" t="str">
        <f>IF(A14="","",IFERROR(LOOKUP(2,1/(A$4:A13=A14),F$4:F13),0)+IF(ISNUMBER(C14),C14,0)-IF(ISNUMBER(E14),E14,0))</f>
        <v/>
      </c>
      <c r="G14" s="11" t="str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/>
      </c>
      <c r="I14" s="7"/>
    </row>
    <row r="15" spans="1:9" x14ac:dyDescent="0.4">
      <c r="A15" s="4"/>
      <c r="B15" s="5"/>
      <c r="C15" s="6"/>
      <c r="D15" s="7"/>
      <c r="E15" s="6"/>
      <c r="F15" s="6" t="str">
        <f>IF(A15="","",IFERROR(LOOKUP(2,1/(A$4:A14=A15),F$4:F14),0)+IF(ISNUMBER(C15),C15,0)-IF(ISNUMBER(E15),E15,0))</f>
        <v/>
      </c>
      <c r="G15" s="11" t="str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/>
      </c>
      <c r="I15" s="7"/>
    </row>
    <row r="16" spans="1:9" x14ac:dyDescent="0.4">
      <c r="A16" s="4"/>
      <c r="B16" s="5"/>
      <c r="C16" s="6"/>
      <c r="D16" s="7"/>
      <c r="E16" s="6"/>
      <c r="F16" s="6" t="str">
        <f>IF(A16="","",IFERROR(LOOKUP(2,1/(A$4:A15=A16),F$4:F15),0)+IF(ISNUMBER(C16),C16,0)-IF(ISNUMBER(E16),E16,0))</f>
        <v/>
      </c>
      <c r="G16" s="11" t="str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/>
      </c>
      <c r="I16" s="7"/>
    </row>
    <row r="17" spans="1:9" x14ac:dyDescent="0.4">
      <c r="A17" s="4"/>
      <c r="B17" s="5"/>
      <c r="C17" s="6"/>
      <c r="D17" s="7"/>
      <c r="E17" s="6"/>
      <c r="F17" s="6" t="str">
        <f>IF(A17="","",IFERROR(LOOKUP(2,1/(A$4:A16=A17),F$4:F16),0)+IF(ISNUMBER(C17),C17,0)-IF(ISNUMBER(E17),E17,0))</f>
        <v/>
      </c>
      <c r="G17" s="11" t="str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/>
      </c>
      <c r="I17" s="7"/>
    </row>
    <row r="18" spans="1:9" x14ac:dyDescent="0.4">
      <c r="A18" s="4"/>
      <c r="B18" s="5"/>
      <c r="C18" s="6"/>
      <c r="D18" s="7"/>
      <c r="E18" s="6"/>
      <c r="F18" s="6" t="str">
        <f>IF(A18="","",IFERROR(LOOKUP(2,1/(A$4:A17=A18),F$4:F17),0)+IF(ISNUMBER(C18),C18,0)-IF(ISNUMBER(E18),E18,0))</f>
        <v/>
      </c>
      <c r="G18" s="11" t="str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/>
      </c>
      <c r="I18" s="7"/>
    </row>
    <row r="19" spans="1:9" x14ac:dyDescent="0.4">
      <c r="A19" s="4"/>
      <c r="B19" s="5"/>
      <c r="C19" s="6"/>
      <c r="D19" s="7"/>
      <c r="E19" s="6"/>
      <c r="F19" s="6" t="str">
        <f>IF(A19="","",IFERROR(LOOKUP(2,1/(A$4:A18=A19),F$4:F18),0)+IF(ISNUMBER(C19),C19,0)-IF(ISNUMBER(E19),E19,0))</f>
        <v/>
      </c>
      <c r="G19" s="11" t="str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/>
      </c>
      <c r="I19" s="7"/>
    </row>
    <row r="20" spans="1:9" x14ac:dyDescent="0.4">
      <c r="A20" s="4"/>
      <c r="B20" s="5"/>
      <c r="C20" s="6"/>
      <c r="D20" s="7"/>
      <c r="E20" s="6"/>
      <c r="F20" s="6" t="str">
        <f>IF(A20="","",IFERROR(LOOKUP(2,1/(A$4:A19=A20),F$4:F19),0)+IF(ISNUMBER(C20),C20,0)-IF(ISNUMBER(E20),E20,0))</f>
        <v/>
      </c>
      <c r="G20" s="11" t="str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/>
      </c>
      <c r="I20" s="7"/>
    </row>
    <row r="21" spans="1:9" x14ac:dyDescent="0.4">
      <c r="A21" s="4"/>
      <c r="B21" s="5"/>
      <c r="C21" s="6"/>
      <c r="D21" s="7"/>
      <c r="E21" s="6"/>
      <c r="F21" s="6" t="str">
        <f>IF(A21="","",IFERROR(LOOKUP(2,1/(A$4:A20=A21),F$4:F20),0)+IF(ISNUMBER(C21),C21,0)-IF(ISNUMBER(E21),E21,0))</f>
        <v/>
      </c>
      <c r="G21" s="11" t="str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/>
      </c>
      <c r="I21" s="7"/>
    </row>
    <row r="22" spans="1:9" x14ac:dyDescent="0.4">
      <c r="A22" s="4"/>
      <c r="B22" s="5"/>
      <c r="C22" s="6"/>
      <c r="D22" s="7"/>
      <c r="E22" s="6"/>
      <c r="F22" s="6" t="str">
        <f>IF(A22="","",IFERROR(LOOKUP(2,1/(A$4:A21=A22),F$4:F21),0)+IF(ISNUMBER(C22),C22,0)-IF(ISNUMBER(E22),E22,0))</f>
        <v/>
      </c>
      <c r="G22" s="11" t="str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/>
      </c>
      <c r="I22" s="7"/>
    </row>
    <row r="23" spans="1:9" x14ac:dyDescent="0.4">
      <c r="A23" s="4"/>
      <c r="B23" s="5"/>
      <c r="C23" s="6"/>
      <c r="D23" s="7"/>
      <c r="E23" s="6"/>
      <c r="F23" s="6" t="str">
        <f>IF(A23="","",IFERROR(LOOKUP(2,1/(A$4:A22=A23),F$4:F22),0)+IF(ISNUMBER(C23),C23,0)-IF(ISNUMBER(E23),E23,0))</f>
        <v/>
      </c>
      <c r="G23" s="11" t="str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/>
      </c>
      <c r="I23" s="7"/>
    </row>
    <row r="24" spans="1:9" x14ac:dyDescent="0.4">
      <c r="A24" s="4"/>
      <c r="B24" s="5"/>
      <c r="C24" s="6"/>
      <c r="D24" s="7"/>
      <c r="E24" s="6"/>
      <c r="F24" s="6" t="str">
        <f>IF(A24="","",IFERROR(LOOKUP(2,1/(A$4:A23=A24),F$4:F23),0)+IF(ISNUMBER(C24),C24,0)-IF(ISNUMBER(E24),E24,0))</f>
        <v/>
      </c>
      <c r="G24" s="11" t="str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/>
      </c>
      <c r="I24" s="7"/>
    </row>
    <row r="25" spans="1:9" x14ac:dyDescent="0.4">
      <c r="A25" s="4"/>
      <c r="B25" s="5"/>
      <c r="C25" s="6"/>
      <c r="D25" s="7"/>
      <c r="E25" s="6"/>
      <c r="F25" s="6" t="str">
        <f>IF(A25="","",IFERROR(LOOKUP(2,1/(A$4:A24=A25),F$4:F24),0)+IF(ISNUMBER(C25),C25,0)-IF(ISNUMBER(E25),E25,0))</f>
        <v/>
      </c>
      <c r="G25" s="11" t="str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/>
      </c>
      <c r="I25" s="7"/>
    </row>
    <row r="26" spans="1:9" x14ac:dyDescent="0.4">
      <c r="A26" s="4"/>
      <c r="B26" s="5"/>
      <c r="C26" s="6"/>
      <c r="D26" s="7"/>
      <c r="E26" s="6"/>
      <c r="F26" s="6" t="str">
        <f>IF(A26="","",IFERROR(LOOKUP(2,1/(A$4:A25=A26),F$4:F25),0)+IF(ISNUMBER(C26),C26,0)-IF(ISNUMBER(E26),E26,0))</f>
        <v/>
      </c>
      <c r="G26" s="11" t="str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/>
      </c>
      <c r="I26" s="7"/>
    </row>
    <row r="27" spans="1:9" x14ac:dyDescent="0.4">
      <c r="A27" s="4"/>
      <c r="B27" s="5"/>
      <c r="C27" s="6"/>
      <c r="D27" s="7"/>
      <c r="E27" s="6"/>
      <c r="F27" s="6" t="str">
        <f>IF(A27="","",IFERROR(LOOKUP(2,1/(A$4:A26=A27),F$4:F26),0)+IF(ISNUMBER(C27),C27,0)-IF(ISNUMBER(E27),E27,0))</f>
        <v/>
      </c>
      <c r="G27" s="11" t="str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/>
      </c>
      <c r="I27" s="7"/>
    </row>
    <row r="28" spans="1:9" x14ac:dyDescent="0.4">
      <c r="A28" s="4"/>
      <c r="B28" s="5"/>
      <c r="C28" s="6"/>
      <c r="D28" s="7"/>
      <c r="E28" s="6"/>
      <c r="F28" s="6" t="str">
        <f>IF(A28="","",IFERROR(LOOKUP(2,1/(A$4:A27=A28),F$4:F27),0)+IF(ISNUMBER(C28),C28,0)-IF(ISNUMBER(E28),E28,0))</f>
        <v/>
      </c>
      <c r="G28" s="11" t="str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/>
      </c>
      <c r="I28" s="7"/>
    </row>
    <row r="29" spans="1:9" x14ac:dyDescent="0.4">
      <c r="A29" s="4"/>
      <c r="B29" s="5"/>
      <c r="C29" s="6"/>
      <c r="D29" s="7"/>
      <c r="E29" s="6"/>
      <c r="F29" s="6" t="str">
        <f>IF(A29="","",IFERROR(LOOKUP(2,1/(A$4:A28=A29),F$4:F28),0)+IF(ISNUMBER(C29),C29,0)-IF(ISNUMBER(E29),E29,0))</f>
        <v/>
      </c>
      <c r="G29" s="11" t="str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/>
      </c>
      <c r="I29" s="7"/>
    </row>
    <row r="30" spans="1:9" x14ac:dyDescent="0.4">
      <c r="A30" s="4"/>
      <c r="B30" s="5"/>
      <c r="C30" s="6"/>
      <c r="D30" s="7"/>
      <c r="E30" s="6"/>
      <c r="F30" s="6" t="str">
        <f>IF(A30="","",IFERROR(LOOKUP(2,1/(A$4:A29=A30),F$4:F29),0)+IF(ISNUMBER(C30),C30,0)-IF(ISNUMBER(E30),E30,0))</f>
        <v/>
      </c>
      <c r="G30" s="11" t="str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/>
      </c>
      <c r="I30" s="7"/>
    </row>
    <row r="31" spans="1:9" x14ac:dyDescent="0.4">
      <c r="A31" s="4"/>
      <c r="B31" s="5"/>
      <c r="C31" s="6"/>
      <c r="D31" s="7"/>
      <c r="E31" s="6"/>
      <c r="F31" s="6" t="str">
        <f>IF(A31="","",IFERROR(LOOKUP(2,1/(A$4:A30=A31),F$4:F30),0)+IF(ISNUMBER(C31),C31,0)-IF(ISNUMBER(E31),E31,0))</f>
        <v/>
      </c>
      <c r="G31" s="11" t="str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/>
      </c>
      <c r="I31" s="7"/>
    </row>
    <row r="32" spans="1:9" x14ac:dyDescent="0.4">
      <c r="A32" s="4"/>
      <c r="B32" s="5"/>
      <c r="C32" s="6"/>
      <c r="D32" s="7"/>
      <c r="E32" s="6"/>
      <c r="F32" s="6" t="str">
        <f>IF(A32="","",IFERROR(LOOKUP(2,1/(A$4:A31=A32),F$4:F31),0)+IF(ISNUMBER(C32),C32,0)-IF(ISNUMBER(E32),E32,0))</f>
        <v/>
      </c>
      <c r="G32" s="11" t="str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/>
      </c>
      <c r="I32" s="7"/>
    </row>
    <row r="33" spans="1:9" x14ac:dyDescent="0.4">
      <c r="A33" s="4"/>
      <c r="B33" s="5"/>
      <c r="C33" s="6"/>
      <c r="D33" s="7"/>
      <c r="E33" s="6"/>
      <c r="F33" s="6" t="str">
        <f>IF(A33="","",IFERROR(LOOKUP(2,1/(A$4:A32=A33),F$4:F32),0)+IF(ISNUMBER(C33),C33,0)-IF(ISNUMBER(E33),E33,0))</f>
        <v/>
      </c>
      <c r="G33" s="11" t="str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/>
      </c>
      <c r="I33" s="7"/>
    </row>
    <row r="34" spans="1:9" x14ac:dyDescent="0.4">
      <c r="A34" s="4"/>
      <c r="B34" s="5"/>
      <c r="C34" s="6"/>
      <c r="D34" s="7"/>
      <c r="E34" s="6"/>
      <c r="F34" s="6" t="str">
        <f>IF(A34="","",IFERROR(LOOKUP(2,1/(A$4:A33=A34),F$4:F33),0)+IF(ISNUMBER(C34),C34,0)-IF(ISNUMBER(E34),E34,0))</f>
        <v/>
      </c>
      <c r="G34" s="11" t="str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/>
      </c>
      <c r="I34" s="7"/>
    </row>
    <row r="35" spans="1:9" x14ac:dyDescent="0.4">
      <c r="A35" s="4"/>
      <c r="B35" s="5"/>
      <c r="C35" s="6"/>
      <c r="D35" s="7"/>
      <c r="E35" s="6"/>
      <c r="F35" s="6" t="str">
        <f>IF(A35="","",IFERROR(LOOKUP(2,1/(A$4:A34=A35),F$4:F34),0)+IF(ISNUMBER(C35),C35,0)-IF(ISNUMBER(E35),E35,0))</f>
        <v/>
      </c>
      <c r="G35" s="11" t="str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/>
      </c>
      <c r="I35" s="7"/>
    </row>
    <row r="36" spans="1:9" x14ac:dyDescent="0.4">
      <c r="A36" s="4"/>
      <c r="B36" s="5"/>
      <c r="C36" s="6"/>
      <c r="D36" s="7"/>
      <c r="E36" s="6"/>
      <c r="F36" s="6" t="str">
        <f>IF(A36="","",IFERROR(LOOKUP(2,1/(A$4:A35=A36),F$4:F35),0)+IF(ISNUMBER(C36),C36,0)-IF(ISNUMBER(E36),E36,0))</f>
        <v/>
      </c>
      <c r="G36" s="11" t="str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/>
      </c>
      <c r="I36" s="7"/>
    </row>
    <row r="37" spans="1:9" x14ac:dyDescent="0.4">
      <c r="A37" s="4"/>
      <c r="B37" s="5"/>
      <c r="C37" s="6"/>
      <c r="D37" s="7"/>
      <c r="E37" s="6"/>
      <c r="F37" s="6" t="str">
        <f>IF(A37="","",IFERROR(LOOKUP(2,1/(A$4:A36=A37),F$4:F36),0)+IF(ISNUMBER(C37),C37,0)-IF(ISNUMBER(E37),E37,0))</f>
        <v/>
      </c>
      <c r="G37" s="11" t="str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/>
      </c>
      <c r="I37" s="7"/>
    </row>
    <row r="38" spans="1:9" x14ac:dyDescent="0.4">
      <c r="A38" s="4"/>
      <c r="B38" s="5"/>
      <c r="C38" s="6"/>
      <c r="D38" s="7"/>
      <c r="E38" s="6"/>
      <c r="F38" s="6" t="str">
        <f>IF(A38="","",IFERROR(LOOKUP(2,1/(A$4:A37=A38),F$4:F37),0)+IF(ISNUMBER(C38),C38,0)-IF(ISNUMBER(E38),E38,0))</f>
        <v/>
      </c>
      <c r="G38" s="11" t="str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/>
      </c>
      <c r="I38" s="7"/>
    </row>
    <row r="39" spans="1:9" x14ac:dyDescent="0.4">
      <c r="A39" s="4"/>
      <c r="B39" s="5"/>
      <c r="C39" s="6"/>
      <c r="D39" s="7"/>
      <c r="E39" s="6"/>
      <c r="F39" s="6" t="str">
        <f>IF(A39="","",IFERROR(LOOKUP(2,1/(A$4:A38=A39),F$4:F38),0)+IF(ISNUMBER(C39),C39,0)-IF(ISNUMBER(E39),E39,0))</f>
        <v/>
      </c>
      <c r="G39" s="11" t="str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/>
      </c>
      <c r="I39" s="7"/>
    </row>
    <row r="40" spans="1:9" x14ac:dyDescent="0.4">
      <c r="A40" s="4"/>
      <c r="B40" s="5"/>
      <c r="C40" s="6"/>
      <c r="D40" s="7"/>
      <c r="E40" s="6"/>
      <c r="F40" s="6" t="str">
        <f>IF(A40="","",IFERROR(LOOKUP(2,1/(A$4:A39=A40),F$4:F39),0)+IF(ISNUMBER(C40),C40,0)-IF(ISNUMBER(E40),E40,0))</f>
        <v/>
      </c>
      <c r="G40" s="11" t="str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/>
      </c>
      <c r="I40" s="7"/>
    </row>
    <row r="41" spans="1:9" x14ac:dyDescent="0.4">
      <c r="A41" s="4"/>
      <c r="B41" s="5"/>
      <c r="C41" s="6"/>
      <c r="D41" s="7"/>
      <c r="E41" s="6"/>
      <c r="F41" s="6" t="str">
        <f>IF(A41="","",IFERROR(LOOKUP(2,1/(A$4:A40=A41),F$4:F40),0)+IF(ISNUMBER(C41),C41,0)-IF(ISNUMBER(E41),E41,0))</f>
        <v/>
      </c>
      <c r="G41" s="11" t="str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/>
      </c>
      <c r="I41" s="7"/>
    </row>
    <row r="42" spans="1:9" x14ac:dyDescent="0.4">
      <c r="A42" s="8" t="s">
        <v>32</v>
      </c>
      <c r="B42" s="8"/>
      <c r="C42" s="9">
        <f>SUM(C4:C41)</f>
        <v>344</v>
      </c>
      <c r="D42" s="10">
        <f>IF(SUM(C4:C41)=0,0,SUMPRODUCT(C4:C41,D4:D41)/SUM(C4:C41))</f>
        <v>206.77337209302323</v>
      </c>
      <c r="E42" s="9">
        <f>SUM(E4:E41)</f>
        <v>57</v>
      </c>
      <c r="F42" s="9">
        <f>SUM(F4:F41)</f>
        <v>1705</v>
      </c>
      <c r="G42" s="9">
        <f t="shared" ref="G42:I42" si="0">SUM(G4:G41)</f>
        <v>1580.6328547805474</v>
      </c>
      <c r="I42" s="7"/>
    </row>
  </sheetData>
  <sortState ref="A4:G11">
    <sortCondition ref="A4:A11"/>
    <sortCondition ref="B4:B11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모델_마스터!$B$10:$B$10</xm:f>
          </x14:formula1>
          <xm:sqref>A4:A41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Views>
    <sheetView workbookViewId="0">
      <pane ySplit="3" topLeftCell="A4" activePane="bottomLeft" state="frozen"/>
      <selection activeCell="G8" sqref="G8"/>
      <selection pane="bottomLeft" activeCell="G8" sqref="G8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34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14</v>
      </c>
      <c r="B4" s="5">
        <v>45839</v>
      </c>
      <c r="C4" s="6">
        <v>200</v>
      </c>
      <c r="D4" s="7">
        <v>85</v>
      </c>
      <c r="E4" s="6">
        <v>196</v>
      </c>
      <c r="F4" s="6">
        <f>IF(A4="","",IF(ISNUMBER(C4),C4,0)-IF(ISNUMBER(E4),E4,0))</f>
        <v>4</v>
      </c>
      <c r="G4" s="11">
        <f>IF(A4="","",IF(IF(ISNUMBER(C4),C4,0)&lt;=0,IF(ISNUMBER(D4),D4,""),D4))</f>
        <v>85</v>
      </c>
      <c r="I4" s="7"/>
    </row>
    <row r="5" spans="1:9" x14ac:dyDescent="0.4">
      <c r="A5" s="4" t="s">
        <v>14</v>
      </c>
      <c r="B5" s="5">
        <v>45870</v>
      </c>
      <c r="C5" s="6">
        <v>300</v>
      </c>
      <c r="D5" s="7">
        <v>92.5</v>
      </c>
      <c r="E5" s="6">
        <v>181</v>
      </c>
      <c r="F5" s="6">
        <f>IF(A5="","",IFERROR(LOOKUP(2,1/(A$4:A4=A5),F$4:F4),0)+IF(ISNUMBER(C5),C5,0)-IF(ISNUMBER(E5),E5,0))</f>
        <v>123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92.401315789473685</v>
      </c>
      <c r="I5" s="7"/>
    </row>
    <row r="6" spans="1:9" x14ac:dyDescent="0.4">
      <c r="A6" s="4" t="s">
        <v>14</v>
      </c>
      <c r="B6" s="5">
        <v>45870</v>
      </c>
      <c r="C6" s="6"/>
      <c r="D6" s="7">
        <v>92.4</v>
      </c>
      <c r="E6" s="6">
        <v>4</v>
      </c>
      <c r="F6" s="6">
        <f>IF(A6="","",IFERROR(LOOKUP(2,1/(A$4:A5=A6),F$4:F5),0)+IF(ISNUMBER(C6),C6,0)-IF(ISNUMBER(E6),E6,0))</f>
        <v>119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92.401315789473685</v>
      </c>
      <c r="I6" s="7"/>
    </row>
    <row r="7" spans="1:9" x14ac:dyDescent="0.4">
      <c r="A7" s="4" t="s">
        <v>14</v>
      </c>
      <c r="B7" s="5">
        <v>45901</v>
      </c>
      <c r="C7" s="6">
        <v>300</v>
      </c>
      <c r="D7" s="7">
        <v>99.2</v>
      </c>
      <c r="E7" s="6">
        <v>34</v>
      </c>
      <c r="F7" s="6">
        <f>IF(A7="","",IFERROR(LOOKUP(2,1/(A$4:A6=A7),F$4:F6),0)+IF(ISNUMBER(C7),C7,0)-IF(ISNUMBER(E7),E7,0))</f>
        <v>385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97.269108780303981</v>
      </c>
      <c r="I7" s="7"/>
    </row>
    <row r="8" spans="1:9" x14ac:dyDescent="0.4">
      <c r="A8" s="4" t="s">
        <v>14</v>
      </c>
      <c r="B8" s="5">
        <v>45901</v>
      </c>
      <c r="C8" s="6"/>
      <c r="D8" s="7">
        <v>92.4</v>
      </c>
      <c r="E8" s="6">
        <v>119</v>
      </c>
      <c r="F8" s="6">
        <f>IF(A8="","",IFERROR(LOOKUP(2,1/(A$4:A7=A8),F$4:F7),0)+IF(ISNUMBER(C8),C8,0)-IF(ISNUMBER(E8),E8,0))</f>
        <v>266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97.269108780303981</v>
      </c>
      <c r="I8" s="7"/>
    </row>
    <row r="9" spans="1:9" x14ac:dyDescent="0.4">
      <c r="A9" s="4" t="s">
        <v>14</v>
      </c>
      <c r="B9" s="5">
        <v>45992</v>
      </c>
      <c r="C9" s="6">
        <v>300</v>
      </c>
      <c r="D9" s="7">
        <v>115</v>
      </c>
      <c r="E9" s="6"/>
      <c r="F9" s="6">
        <f>IF(A9="","",IFERROR(LOOKUP(2,1/(A$4:A8=A9),F$4:F8),0)+IF(ISNUMBER(C9),C9,0)-IF(ISNUMBER(E9),E9,0))</f>
        <v>566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106.66710766000152</v>
      </c>
      <c r="I9" s="7"/>
    </row>
    <row r="10" spans="1:9" x14ac:dyDescent="0.4">
      <c r="A10" s="4" t="s">
        <v>14</v>
      </c>
      <c r="B10" s="5">
        <v>45992</v>
      </c>
      <c r="C10" s="6"/>
      <c r="D10" s="7">
        <v>97.27</v>
      </c>
      <c r="E10" s="6">
        <v>266</v>
      </c>
      <c r="F10" s="6">
        <f>IF(A10="","",IFERROR(LOOKUP(2,1/(A$4:A9=A10),F$4:F9),0)+IF(ISNUMBER(C10),C10,0)-IF(ISNUMBER(E10),E10,0))</f>
        <v>300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106.66710766000152</v>
      </c>
      <c r="I10" s="7"/>
    </row>
    <row r="11" spans="1:9" x14ac:dyDescent="0.4">
      <c r="A11" s="4" t="s">
        <v>14</v>
      </c>
      <c r="B11" s="5">
        <v>46023</v>
      </c>
      <c r="C11" s="6"/>
      <c r="D11" s="7">
        <v>106.67</v>
      </c>
      <c r="E11" s="6">
        <v>56</v>
      </c>
      <c r="F11" s="6">
        <f>IF(A11="","",IFERROR(LOOKUP(2,1/(A$4:A10=A11),F$4:F10),0)+IF(ISNUMBER(C11),C11,0)-IF(ISNUMBER(E11),E11,0))</f>
        <v>244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106.66710766000152</v>
      </c>
      <c r="I11" s="7"/>
    </row>
    <row r="12" spans="1:9" x14ac:dyDescent="0.4">
      <c r="A12" s="4" t="s">
        <v>14</v>
      </c>
      <c r="B12" s="5">
        <v>46054</v>
      </c>
      <c r="C12" s="6"/>
      <c r="D12" s="7">
        <v>106.67</v>
      </c>
      <c r="E12" s="6">
        <v>68</v>
      </c>
      <c r="F12" s="6">
        <f>IF(A12="","",IFERROR(LOOKUP(2,1/(A$4:A11=A12),F$4:F11),0)+IF(ISNUMBER(C12),C12,0)-IF(ISNUMBER(E12),E12,0))</f>
        <v>176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106.66710766000152</v>
      </c>
      <c r="I12" s="7"/>
    </row>
    <row r="13" spans="1:9" x14ac:dyDescent="0.4">
      <c r="A13" s="4" t="s">
        <v>14</v>
      </c>
      <c r="B13" s="5">
        <v>46082</v>
      </c>
      <c r="C13" s="6"/>
      <c r="D13" s="7">
        <v>106.67</v>
      </c>
      <c r="E13" s="6"/>
      <c r="F13" s="6">
        <f>IF(A13="","",IFERROR(LOOKUP(2,1/(A$4:A12=A13),F$4:F12),0)+IF(ISNUMBER(C13),C13,0)-IF(ISNUMBER(E13),E13,0))</f>
        <v>176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106.66710766000152</v>
      </c>
      <c r="I13" s="7"/>
    </row>
    <row r="14" spans="1:9" x14ac:dyDescent="0.4">
      <c r="A14" s="4" t="s">
        <v>14</v>
      </c>
      <c r="B14" s="5">
        <v>46113</v>
      </c>
      <c r="C14" s="6"/>
      <c r="D14" s="7">
        <v>106.67</v>
      </c>
      <c r="E14" s="6">
        <v>161</v>
      </c>
      <c r="F14" s="6">
        <f>IF(A14="","",IFERROR(LOOKUP(2,1/(A$4:A13=A14),F$4:F13),0)+IF(ISNUMBER(C14),C14,0)-IF(ISNUMBER(E14),E14,0))</f>
        <v>15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106.66710766000152</v>
      </c>
      <c r="I14" s="7"/>
    </row>
    <row r="15" spans="1:9" x14ac:dyDescent="0.4">
      <c r="A15" s="4" t="s">
        <v>14</v>
      </c>
      <c r="B15" s="5">
        <v>46143</v>
      </c>
      <c r="C15" s="6">
        <v>400</v>
      </c>
      <c r="D15" s="7">
        <v>177</v>
      </c>
      <c r="E15" s="6">
        <v>150</v>
      </c>
      <c r="F15" s="6">
        <f>IF(A15="","",IFERROR(LOOKUP(2,1/(A$4:A14=A15),F$4:F14),0)+IF(ISNUMBER(C15),C15,0)-IF(ISNUMBER(E15),E15,0))</f>
        <v>265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174.45784726481932</v>
      </c>
      <c r="I15" s="7"/>
    </row>
    <row r="16" spans="1:9" x14ac:dyDescent="0.4">
      <c r="A16" s="4" t="s">
        <v>14</v>
      </c>
      <c r="B16" s="5">
        <v>46143</v>
      </c>
      <c r="C16" s="6"/>
      <c r="D16" s="7">
        <v>106.67</v>
      </c>
      <c r="E16" s="6">
        <v>15</v>
      </c>
      <c r="F16" s="6">
        <f>IF(A16="","",IFERROR(LOOKUP(2,1/(A$4:A15=A16),F$4:F15),0)+IF(ISNUMBER(C16),C16,0)-IF(ISNUMBER(E16),E16,0))</f>
        <v>250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174.45784726481932</v>
      </c>
      <c r="I16" s="7"/>
    </row>
    <row r="17" spans="1:9" x14ac:dyDescent="0.4">
      <c r="A17" s="4" t="s">
        <v>14</v>
      </c>
      <c r="B17" s="5">
        <v>46174</v>
      </c>
      <c r="C17" s="6"/>
      <c r="D17" s="7">
        <v>174.46</v>
      </c>
      <c r="E17" s="6">
        <v>72</v>
      </c>
      <c r="F17" s="6">
        <f>IF(A17="","",IFERROR(LOOKUP(2,1/(A$4:A16=A17),F$4:F16),0)+IF(ISNUMBER(C17),C17,0)-IF(ISNUMBER(E17),E17,0))</f>
        <v>178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174.45784726481932</v>
      </c>
      <c r="I17" s="7"/>
    </row>
    <row r="18" spans="1:9" x14ac:dyDescent="0.4">
      <c r="A18" s="4" t="s">
        <v>14</v>
      </c>
      <c r="B18" s="5">
        <v>46204</v>
      </c>
      <c r="C18" s="6"/>
      <c r="D18" s="7">
        <v>174.46</v>
      </c>
      <c r="E18" s="6">
        <v>10</v>
      </c>
      <c r="F18" s="6">
        <f>IF(A18="","",IFERROR(LOOKUP(2,1/(A$4:A17=A18),F$4:F17),0)+IF(ISNUMBER(C18),C18,0)-IF(ISNUMBER(E18),E18,0))</f>
        <v>168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174.45784726481932</v>
      </c>
      <c r="I18" s="7"/>
    </row>
    <row r="19" spans="1:9" x14ac:dyDescent="0.4">
      <c r="A19" s="4" t="s">
        <v>14</v>
      </c>
      <c r="B19" s="5">
        <v>46235</v>
      </c>
      <c r="C19" s="6"/>
      <c r="D19" s="7">
        <v>174.46</v>
      </c>
      <c r="E19" s="6">
        <v>155</v>
      </c>
      <c r="F19" s="6">
        <f>IF(A19="","",IFERROR(LOOKUP(2,1/(A$4:A18=A19),F$4:F18),0)+IF(ISNUMBER(C19),C19,0)-IF(ISNUMBER(E19),E19,0))</f>
        <v>13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174.45784726481932</v>
      </c>
      <c r="I19" s="7"/>
    </row>
    <row r="20" spans="1:9" x14ac:dyDescent="0.4">
      <c r="A20" s="4" t="s">
        <v>14</v>
      </c>
      <c r="B20" s="5">
        <v>46266</v>
      </c>
      <c r="C20" s="6">
        <v>400</v>
      </c>
      <c r="D20" s="7">
        <v>188.4</v>
      </c>
      <c r="E20" s="6"/>
      <c r="F20" s="6">
        <f>IF(A20="","",IFERROR(LOOKUP(2,1/(A$4:A19=A20),F$4:F19),0)+IF(ISNUMBER(C20),C20,0)-IF(ISNUMBER(E20),E20,0))</f>
        <v>413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187.96114289211295</v>
      </c>
      <c r="I20" s="7"/>
    </row>
    <row r="21" spans="1:9" x14ac:dyDescent="0.4">
      <c r="A21" s="4" t="s">
        <v>14</v>
      </c>
      <c r="B21" s="5">
        <v>46266</v>
      </c>
      <c r="C21" s="6"/>
      <c r="D21" s="7">
        <v>187.96</v>
      </c>
      <c r="E21" s="6"/>
      <c r="F21" s="6">
        <f>IF(A21="","",IFERROR(LOOKUP(2,1/(A$4:A20=A21),F$4:F20),0)+IF(ISNUMBER(C21),C21,0)-IF(ISNUMBER(E21),E21,0))</f>
        <v>413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187.96114289211295</v>
      </c>
      <c r="I21" s="7"/>
    </row>
    <row r="22" spans="1:9" x14ac:dyDescent="0.4">
      <c r="A22" s="4" t="s">
        <v>14</v>
      </c>
      <c r="B22" s="5">
        <v>46296</v>
      </c>
      <c r="C22" s="6"/>
      <c r="D22" s="7">
        <v>187.96</v>
      </c>
      <c r="E22" s="6">
        <v>60</v>
      </c>
      <c r="F22" s="6">
        <f>IF(A22="","",IFERROR(LOOKUP(2,1/(A$4:A21=A22),F$4:F21),0)+IF(ISNUMBER(C22),C22,0)-IF(ISNUMBER(E22),E22,0))</f>
        <v>353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187.96114289211295</v>
      </c>
      <c r="I22" s="7"/>
    </row>
    <row r="23" spans="1:9" x14ac:dyDescent="0.4">
      <c r="A23" s="4"/>
      <c r="B23" s="5"/>
      <c r="C23" s="6"/>
      <c r="D23" s="7"/>
      <c r="E23" s="6"/>
      <c r="F23" s="6" t="str">
        <f>IF(A23="","",IFERROR(LOOKUP(2,1/(A$4:A22=A23),F$4:F22),0)+IF(ISNUMBER(C23),C23,0)-IF(ISNUMBER(E23),E23,0))</f>
        <v/>
      </c>
      <c r="G23" s="11" t="str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/>
      </c>
      <c r="I23" s="7"/>
    </row>
    <row r="24" spans="1:9" x14ac:dyDescent="0.4">
      <c r="A24" s="4"/>
      <c r="B24" s="5"/>
      <c r="C24" s="6"/>
      <c r="D24" s="7"/>
      <c r="E24" s="6"/>
      <c r="F24" s="6" t="str">
        <f>IF(A24="","",IFERROR(LOOKUP(2,1/(A$4:A23=A24),F$4:F23),0)+IF(ISNUMBER(C24),C24,0)-IF(ISNUMBER(E24),E24,0))</f>
        <v/>
      </c>
      <c r="G24" s="11" t="str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/>
      </c>
      <c r="I24" s="7"/>
    </row>
    <row r="25" spans="1:9" x14ac:dyDescent="0.4">
      <c r="A25" s="4"/>
      <c r="B25" s="5"/>
      <c r="C25" s="6"/>
      <c r="D25" s="7"/>
      <c r="E25" s="6"/>
      <c r="F25" s="6" t="str">
        <f>IF(A25="","",IFERROR(LOOKUP(2,1/(A$4:A24=A25),F$4:F24),0)+IF(ISNUMBER(C25),C25,0)-IF(ISNUMBER(E25),E25,0))</f>
        <v/>
      </c>
      <c r="G25" s="11" t="str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/>
      </c>
      <c r="I25" s="7"/>
    </row>
    <row r="26" spans="1:9" x14ac:dyDescent="0.4">
      <c r="A26" s="4"/>
      <c r="B26" s="5"/>
      <c r="C26" s="6"/>
      <c r="D26" s="7"/>
      <c r="E26" s="6"/>
      <c r="F26" s="6" t="str">
        <f>IF(A26="","",IFERROR(LOOKUP(2,1/(A$4:A25=A26),F$4:F25),0)+IF(ISNUMBER(C26),C26,0)-IF(ISNUMBER(E26),E26,0))</f>
        <v/>
      </c>
      <c r="G26" s="11" t="str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/>
      </c>
      <c r="I26" s="7"/>
    </row>
    <row r="27" spans="1:9" x14ac:dyDescent="0.4">
      <c r="A27" s="4"/>
      <c r="B27" s="5"/>
      <c r="C27" s="6"/>
      <c r="D27" s="7"/>
      <c r="E27" s="6"/>
      <c r="F27" s="6" t="str">
        <f>IF(A27="","",IFERROR(LOOKUP(2,1/(A$4:A26=A27),F$4:F26),0)+IF(ISNUMBER(C27),C27,0)-IF(ISNUMBER(E27),E27,0))</f>
        <v/>
      </c>
      <c r="G27" s="11" t="str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/>
      </c>
      <c r="I27" s="7"/>
    </row>
    <row r="28" spans="1:9" x14ac:dyDescent="0.4">
      <c r="A28" s="4"/>
      <c r="B28" s="5"/>
      <c r="C28" s="6"/>
      <c r="D28" s="7"/>
      <c r="E28" s="6"/>
      <c r="F28" s="6" t="str">
        <f>IF(A28="","",IFERROR(LOOKUP(2,1/(A$4:A27=A28),F$4:F27),0)+IF(ISNUMBER(C28),C28,0)-IF(ISNUMBER(E28),E28,0))</f>
        <v/>
      </c>
      <c r="G28" s="11" t="str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/>
      </c>
      <c r="I28" s="7"/>
    </row>
    <row r="29" spans="1:9" x14ac:dyDescent="0.4">
      <c r="A29" s="4"/>
      <c r="B29" s="5"/>
      <c r="C29" s="6"/>
      <c r="D29" s="7"/>
      <c r="E29" s="6"/>
      <c r="F29" s="6" t="str">
        <f>IF(A29="","",IFERROR(LOOKUP(2,1/(A$4:A28=A29),F$4:F28),0)+IF(ISNUMBER(C29),C29,0)-IF(ISNUMBER(E29),E29,0))</f>
        <v/>
      </c>
      <c r="G29" s="11" t="str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/>
      </c>
      <c r="I29" s="7"/>
    </row>
    <row r="30" spans="1:9" x14ac:dyDescent="0.4">
      <c r="A30" s="4"/>
      <c r="B30" s="5"/>
      <c r="C30" s="6"/>
      <c r="D30" s="7"/>
      <c r="E30" s="6"/>
      <c r="F30" s="6" t="str">
        <f>IF(A30="","",IFERROR(LOOKUP(2,1/(A$4:A29=A30),F$4:F29),0)+IF(ISNUMBER(C30),C30,0)-IF(ISNUMBER(E30),E30,0))</f>
        <v/>
      </c>
      <c r="G30" s="11" t="str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/>
      </c>
      <c r="I30" s="7"/>
    </row>
    <row r="31" spans="1:9" x14ac:dyDescent="0.4">
      <c r="A31" s="4"/>
      <c r="B31" s="5"/>
      <c r="C31" s="6"/>
      <c r="D31" s="7"/>
      <c r="E31" s="6"/>
      <c r="F31" s="6" t="str">
        <f>IF(A31="","",IFERROR(LOOKUP(2,1/(A$4:A30=A31),F$4:F30),0)+IF(ISNUMBER(C31),C31,0)-IF(ISNUMBER(E31),E31,0))</f>
        <v/>
      </c>
      <c r="G31" s="11" t="str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/>
      </c>
      <c r="I31" s="7"/>
    </row>
    <row r="32" spans="1:9" x14ac:dyDescent="0.4">
      <c r="A32" s="4"/>
      <c r="B32" s="5"/>
      <c r="C32" s="6"/>
      <c r="D32" s="7"/>
      <c r="E32" s="6"/>
      <c r="F32" s="6" t="str">
        <f>IF(A32="","",IFERROR(LOOKUP(2,1/(A$4:A31=A32),F$4:F31),0)+IF(ISNUMBER(C32),C32,0)-IF(ISNUMBER(E32),E32,0))</f>
        <v/>
      </c>
      <c r="G32" s="11" t="str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/>
      </c>
      <c r="I32" s="7"/>
    </row>
    <row r="33" spans="1:9" x14ac:dyDescent="0.4">
      <c r="A33" s="4"/>
      <c r="B33" s="5"/>
      <c r="C33" s="6"/>
      <c r="D33" s="7"/>
      <c r="E33" s="6"/>
      <c r="F33" s="6" t="str">
        <f>IF(A33="","",IFERROR(LOOKUP(2,1/(A$4:A32=A33),F$4:F32),0)+IF(ISNUMBER(C33),C33,0)-IF(ISNUMBER(E33),E33,0))</f>
        <v/>
      </c>
      <c r="G33" s="11" t="str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/>
      </c>
      <c r="I33" s="7"/>
    </row>
    <row r="34" spans="1:9" x14ac:dyDescent="0.4">
      <c r="A34" s="4"/>
      <c r="B34" s="5"/>
      <c r="C34" s="6"/>
      <c r="D34" s="7"/>
      <c r="E34" s="6"/>
      <c r="F34" s="6" t="str">
        <f>IF(A34="","",IFERROR(LOOKUP(2,1/(A$4:A33=A34),F$4:F33),0)+IF(ISNUMBER(C34),C34,0)-IF(ISNUMBER(E34),E34,0))</f>
        <v/>
      </c>
      <c r="G34" s="11" t="str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/>
      </c>
      <c r="I34" s="7"/>
    </row>
    <row r="35" spans="1:9" x14ac:dyDescent="0.4">
      <c r="A35" s="4"/>
      <c r="B35" s="5"/>
      <c r="C35" s="6"/>
      <c r="D35" s="7"/>
      <c r="E35" s="6"/>
      <c r="F35" s="6" t="str">
        <f>IF(A35="","",IFERROR(LOOKUP(2,1/(A$4:A34=A35),F$4:F34),0)+IF(ISNUMBER(C35),C35,0)-IF(ISNUMBER(E35),E35,0))</f>
        <v/>
      </c>
      <c r="G35" s="11" t="str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/>
      </c>
      <c r="I35" s="7"/>
    </row>
    <row r="36" spans="1:9" x14ac:dyDescent="0.4">
      <c r="A36" s="4"/>
      <c r="B36" s="5"/>
      <c r="C36" s="6"/>
      <c r="D36" s="7"/>
      <c r="E36" s="6"/>
      <c r="F36" s="6" t="str">
        <f>IF(A36="","",IFERROR(LOOKUP(2,1/(A$4:A35=A36),F$4:F35),0)+IF(ISNUMBER(C36),C36,0)-IF(ISNUMBER(E36),E36,0))</f>
        <v/>
      </c>
      <c r="G36" s="11" t="str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/>
      </c>
      <c r="I36" s="7"/>
    </row>
    <row r="37" spans="1:9" x14ac:dyDescent="0.4">
      <c r="A37" s="4"/>
      <c r="B37" s="5"/>
      <c r="C37" s="6"/>
      <c r="D37" s="7"/>
      <c r="E37" s="6"/>
      <c r="F37" s="6" t="str">
        <f>IF(A37="","",IFERROR(LOOKUP(2,1/(A$4:A36=A37),F$4:F36),0)+IF(ISNUMBER(C37),C37,0)-IF(ISNUMBER(E37),E37,0))</f>
        <v/>
      </c>
      <c r="G37" s="11" t="str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/>
      </c>
      <c r="I37" s="7"/>
    </row>
    <row r="38" spans="1:9" x14ac:dyDescent="0.4">
      <c r="A38" s="4"/>
      <c r="B38" s="5"/>
      <c r="C38" s="6"/>
      <c r="D38" s="7"/>
      <c r="E38" s="6"/>
      <c r="F38" s="6" t="str">
        <f>IF(A38="","",IFERROR(LOOKUP(2,1/(A$4:A37=A38),F$4:F37),0)+IF(ISNUMBER(C38),C38,0)-IF(ISNUMBER(E38),E38,0))</f>
        <v/>
      </c>
      <c r="G38" s="11" t="str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/>
      </c>
      <c r="I38" s="7"/>
    </row>
    <row r="39" spans="1:9" x14ac:dyDescent="0.4">
      <c r="A39" s="4"/>
      <c r="B39" s="5"/>
      <c r="C39" s="6"/>
      <c r="D39" s="7"/>
      <c r="E39" s="6"/>
      <c r="F39" s="6" t="str">
        <f>IF(A39="","",IFERROR(LOOKUP(2,1/(A$4:A38=A39),F$4:F38),0)+IF(ISNUMBER(C39),C39,0)-IF(ISNUMBER(E39),E39,0))</f>
        <v/>
      </c>
      <c r="G39" s="11" t="str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/>
      </c>
      <c r="I39" s="7"/>
    </row>
    <row r="40" spans="1:9" x14ac:dyDescent="0.4">
      <c r="A40" s="4"/>
      <c r="B40" s="5"/>
      <c r="C40" s="6"/>
      <c r="D40" s="7"/>
      <c r="E40" s="6"/>
      <c r="F40" s="6" t="str">
        <f>IF(A40="","",IFERROR(LOOKUP(2,1/(A$4:A39=A40),F$4:F39),0)+IF(ISNUMBER(C40),C40,0)-IF(ISNUMBER(E40),E40,0))</f>
        <v/>
      </c>
      <c r="G40" s="11" t="str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/>
      </c>
      <c r="I40" s="7"/>
    </row>
    <row r="41" spans="1:9" x14ac:dyDescent="0.4">
      <c r="A41" s="4"/>
      <c r="B41" s="5"/>
      <c r="C41" s="6"/>
      <c r="D41" s="7"/>
      <c r="E41" s="6"/>
      <c r="F41" s="6" t="str">
        <f>IF(A41="","",IFERROR(LOOKUP(2,1/(A$4:A40=A41),F$4:F40),0)+IF(ISNUMBER(C41),C41,0)-IF(ISNUMBER(E41),E41,0))</f>
        <v/>
      </c>
      <c r="G41" s="11" t="str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/>
      </c>
      <c r="I41" s="7"/>
    </row>
    <row r="42" spans="1:9" x14ac:dyDescent="0.4">
      <c r="A42" s="4"/>
      <c r="B42" s="5"/>
      <c r="C42" s="6"/>
      <c r="D42" s="7"/>
      <c r="E42" s="6"/>
      <c r="F42" s="6" t="str">
        <f>IF(A42="","",IFERROR(LOOKUP(2,1/(A$4:A41=A42),F$4:F41),0)+IF(ISNUMBER(C42),C42,0)-IF(ISNUMBER(E42),E42,0))</f>
        <v/>
      </c>
      <c r="G42" s="11" t="str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/>
      </c>
      <c r="I42" s="7"/>
    </row>
    <row r="43" spans="1:9" x14ac:dyDescent="0.4">
      <c r="A43" s="4"/>
      <c r="B43" s="5"/>
      <c r="C43" s="6"/>
      <c r="D43" s="7"/>
      <c r="E43" s="6"/>
      <c r="F43" s="6" t="str">
        <f>IF(A43="","",IFERROR(LOOKUP(2,1/(A$4:A42=A43),F$4:F42),0)+IF(ISNUMBER(C43),C43,0)-IF(ISNUMBER(E43),E43,0))</f>
        <v/>
      </c>
      <c r="G43" s="11" t="str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/>
      </c>
      <c r="I43" s="7"/>
    </row>
    <row r="44" spans="1:9" x14ac:dyDescent="0.4">
      <c r="A44" s="4"/>
      <c r="B44" s="5"/>
      <c r="C44" s="6"/>
      <c r="D44" s="7"/>
      <c r="E44" s="6"/>
      <c r="F44" s="6" t="str">
        <f>IF(A44="","",IFERROR(LOOKUP(2,1/(A$4:A43=A44),F$4:F43),0)+IF(ISNUMBER(C44),C44,0)-IF(ISNUMBER(E44),E44,0))</f>
        <v/>
      </c>
      <c r="G44" s="11" t="str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/>
      </c>
      <c r="I44" s="7"/>
    </row>
    <row r="45" spans="1:9" x14ac:dyDescent="0.4">
      <c r="A45" s="4"/>
      <c r="B45" s="5"/>
      <c r="C45" s="6"/>
      <c r="D45" s="7"/>
      <c r="E45" s="6"/>
      <c r="F45" s="6" t="str">
        <f>IF(A45="","",IFERROR(LOOKUP(2,1/(A$4:A44=A45),F$4:F44),0)+IF(ISNUMBER(C45),C45,0)-IF(ISNUMBER(E45),E45,0))</f>
        <v/>
      </c>
      <c r="G45" s="11" t="str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/>
      </c>
      <c r="I45" s="7"/>
    </row>
    <row r="46" spans="1:9" x14ac:dyDescent="0.4">
      <c r="A46" s="4"/>
      <c r="B46" s="5"/>
      <c r="C46" s="6"/>
      <c r="D46" s="7"/>
      <c r="E46" s="6"/>
      <c r="F46" s="6" t="str">
        <f>IF(A46="","",IFERROR(LOOKUP(2,1/(A$4:A45=A46),F$4:F45),0)+IF(ISNUMBER(C46),C46,0)-IF(ISNUMBER(E46),E46,0))</f>
        <v/>
      </c>
      <c r="G46" s="11" t="str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/>
      </c>
      <c r="I46" s="7"/>
    </row>
    <row r="47" spans="1:9" x14ac:dyDescent="0.4">
      <c r="A47" s="4"/>
      <c r="B47" s="5"/>
      <c r="C47" s="6"/>
      <c r="D47" s="7"/>
      <c r="E47" s="6"/>
      <c r="F47" s="6" t="str">
        <f>IF(A47="","",IFERROR(LOOKUP(2,1/(A$4:A46=A47),F$4:F46),0)+IF(ISNUMBER(C47),C47,0)-IF(ISNUMBER(E47),E47,0))</f>
        <v/>
      </c>
      <c r="G47" s="11" t="str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/>
      </c>
      <c r="I47" s="7"/>
    </row>
    <row r="48" spans="1:9" x14ac:dyDescent="0.4">
      <c r="A48" s="4"/>
      <c r="B48" s="5"/>
      <c r="C48" s="6"/>
      <c r="D48" s="7"/>
      <c r="E48" s="6"/>
      <c r="F48" s="6" t="str">
        <f>IF(A48="","",IFERROR(LOOKUP(2,1/(A$4:A47=A48),F$4:F47),0)+IF(ISNUMBER(C48),C48,0)-IF(ISNUMBER(E48),E48,0))</f>
        <v/>
      </c>
      <c r="G48" s="11" t="str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/>
      </c>
      <c r="I48" s="7"/>
    </row>
    <row r="49" spans="1:9" x14ac:dyDescent="0.4">
      <c r="A49" s="4"/>
      <c r="B49" s="5"/>
      <c r="C49" s="6"/>
      <c r="D49" s="7"/>
      <c r="E49" s="6"/>
      <c r="F49" s="6" t="str">
        <f>IF(A49="","",IFERROR(LOOKUP(2,1/(A$4:A48=A49),F$4:F48),0)+IF(ISNUMBER(C49),C49,0)-IF(ISNUMBER(E49),E49,0))</f>
        <v/>
      </c>
      <c r="G49" s="11" t="str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/>
      </c>
      <c r="I49" s="7"/>
    </row>
    <row r="50" spans="1:9" x14ac:dyDescent="0.4">
      <c r="A50" s="4"/>
      <c r="B50" s="5"/>
      <c r="C50" s="6"/>
      <c r="D50" s="7"/>
      <c r="E50" s="6"/>
      <c r="F50" s="6" t="str">
        <f>IF(A50="","",IFERROR(LOOKUP(2,1/(A$4:A49=A50),F$4:F49),0)+IF(ISNUMBER(C50),C50,0)-IF(ISNUMBER(E50),E50,0))</f>
        <v/>
      </c>
      <c r="G50" s="11" t="str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/>
      </c>
      <c r="I50" s="7"/>
    </row>
    <row r="51" spans="1:9" x14ac:dyDescent="0.4">
      <c r="A51" s="4"/>
      <c r="B51" s="5"/>
      <c r="C51" s="6"/>
      <c r="D51" s="7"/>
      <c r="E51" s="6"/>
      <c r="F51" s="6" t="str">
        <f>IF(A51="","",IFERROR(LOOKUP(2,1/(A$4:A50=A51),F$4:F50),0)+IF(ISNUMBER(C51),C51,0)-IF(ISNUMBER(E51),E51,0))</f>
        <v/>
      </c>
      <c r="G51" s="11" t="str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/>
      </c>
      <c r="I51" s="7"/>
    </row>
    <row r="52" spans="1:9" x14ac:dyDescent="0.4">
      <c r="A52" s="4"/>
      <c r="B52" s="5"/>
      <c r="C52" s="6"/>
      <c r="D52" s="7"/>
      <c r="E52" s="6"/>
      <c r="F52" s="6" t="str">
        <f>IF(A52="","",IFERROR(LOOKUP(2,1/(A$4:A51=A52),F$4:F51),0)+IF(ISNUMBER(C52),C52,0)-IF(ISNUMBER(E52),E52,0))</f>
        <v/>
      </c>
      <c r="G52" s="11" t="str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/>
      </c>
      <c r="I52" s="7"/>
    </row>
    <row r="53" spans="1:9" x14ac:dyDescent="0.4">
      <c r="A53" s="8" t="s">
        <v>32</v>
      </c>
      <c r="B53" s="8"/>
      <c r="C53" s="9">
        <f>SUM(C4:C52)</f>
        <v>1900</v>
      </c>
      <c r="D53" s="10">
        <f>IF(SUM(C4:C52)=0,0,SUMPRODUCT(C4:C52,D4:D52)/SUM(C4:C52))</f>
        <v>134.30000000000001</v>
      </c>
      <c r="E53" s="9">
        <f>SUM(E4:E52)</f>
        <v>1547</v>
      </c>
      <c r="F53" s="9">
        <f>SUM(F4:F52)</f>
        <v>4427</v>
      </c>
      <c r="G53" s="9">
        <f t="shared" ref="G53:I53" si="0">SUM(G4:G52)</f>
        <v>2540.5161601</v>
      </c>
      <c r="I53" s="7"/>
    </row>
  </sheetData>
  <sortState ref="A4:G22">
    <sortCondition ref="A4:A22"/>
    <sortCondition ref="B4:B22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모델_마스터!$B$11:$B$11</xm:f>
          </x14:formula1>
          <xm:sqref>A4:A52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"/>
  <sheetViews>
    <sheetView workbookViewId="0">
      <pane ySplit="3" topLeftCell="A4" activePane="bottomLeft" state="frozen"/>
      <selection activeCell="G8" sqref="G8"/>
      <selection pane="bottomLeft" activeCell="G8" sqref="G8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35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17</v>
      </c>
      <c r="B4" s="5">
        <v>45992</v>
      </c>
      <c r="C4" s="6">
        <v>968</v>
      </c>
      <c r="D4" s="7">
        <v>10.5</v>
      </c>
      <c r="E4" s="6">
        <v>240</v>
      </c>
      <c r="F4" s="6">
        <f>IF(A4="","",IF(ISNUMBER(C4),C4,0)-IF(ISNUMBER(E4),E4,0))</f>
        <v>728</v>
      </c>
      <c r="G4" s="11">
        <f>IF(A4="","",IF(IF(ISNUMBER(C4),C4,0)&lt;=0,IF(ISNUMBER(D4),D4,""),D4))</f>
        <v>10.5</v>
      </c>
      <c r="I4" s="7"/>
    </row>
    <row r="5" spans="1:9" x14ac:dyDescent="0.4">
      <c r="A5" s="4" t="s">
        <v>17</v>
      </c>
      <c r="B5" s="5">
        <v>46023</v>
      </c>
      <c r="C5" s="6"/>
      <c r="D5" s="7">
        <v>10.5</v>
      </c>
      <c r="E5" s="6">
        <v>366</v>
      </c>
      <c r="F5" s="6">
        <f>IF(A5="","",IFERROR(LOOKUP(2,1/(A$4:A4=A5),F$4:F4),0)+IF(ISNUMBER(C5),C5,0)-IF(ISNUMBER(E5),E5,0))</f>
        <v>362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10.5</v>
      </c>
      <c r="I5" s="7"/>
    </row>
    <row r="6" spans="1:9" x14ac:dyDescent="0.4">
      <c r="A6" s="4" t="s">
        <v>17</v>
      </c>
      <c r="B6" s="5">
        <v>46054</v>
      </c>
      <c r="C6" s="6">
        <v>1000</v>
      </c>
      <c r="D6" s="7">
        <v>27</v>
      </c>
      <c r="E6" s="6">
        <v>104</v>
      </c>
      <c r="F6" s="6">
        <f>IF(A6="","",IFERROR(LOOKUP(2,1/(A$4:A5=A6),F$4:F5),0)+IF(ISNUMBER(C6),C6,0)-IF(ISNUMBER(E6),E6,0))</f>
        <v>1258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22.614537444933919</v>
      </c>
      <c r="I6" s="7"/>
    </row>
    <row r="7" spans="1:9" x14ac:dyDescent="0.4">
      <c r="A7" s="4" t="s">
        <v>17</v>
      </c>
      <c r="B7" s="5">
        <v>46054</v>
      </c>
      <c r="C7" s="6"/>
      <c r="D7" s="7">
        <v>10.5</v>
      </c>
      <c r="E7" s="6">
        <v>165</v>
      </c>
      <c r="F7" s="6">
        <f>IF(A7="","",IFERROR(LOOKUP(2,1/(A$4:A6=A7),F$4:F6),0)+IF(ISNUMBER(C7),C7,0)-IF(ISNUMBER(E7),E7,0))</f>
        <v>1093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22.614537444933919</v>
      </c>
      <c r="I7" s="7"/>
    </row>
    <row r="8" spans="1:9" x14ac:dyDescent="0.4">
      <c r="A8" s="4" t="s">
        <v>17</v>
      </c>
      <c r="B8" s="5">
        <v>46082</v>
      </c>
      <c r="C8" s="6"/>
      <c r="D8" s="7">
        <v>22.61</v>
      </c>
      <c r="E8" s="6">
        <v>268</v>
      </c>
      <c r="F8" s="6">
        <f>IF(A8="","",IFERROR(LOOKUP(2,1/(A$4:A7=A8),F$4:F7),0)+IF(ISNUMBER(C8),C8,0)-IF(ISNUMBER(E8),E8,0))</f>
        <v>825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22.614537444933919</v>
      </c>
      <c r="I8" s="7"/>
    </row>
    <row r="9" spans="1:9" x14ac:dyDescent="0.4">
      <c r="A9" s="4" t="s">
        <v>17</v>
      </c>
      <c r="B9" s="5">
        <v>46113</v>
      </c>
      <c r="C9" s="6"/>
      <c r="D9" s="7">
        <v>22.61</v>
      </c>
      <c r="E9" s="6">
        <v>280</v>
      </c>
      <c r="F9" s="6">
        <f>IF(A9="","",IFERROR(LOOKUP(2,1/(A$4:A8=A9),F$4:F8),0)+IF(ISNUMBER(C9),C9,0)-IF(ISNUMBER(E9),E9,0))</f>
        <v>545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22.614537444933919</v>
      </c>
      <c r="I9" s="7"/>
    </row>
    <row r="10" spans="1:9" x14ac:dyDescent="0.4">
      <c r="A10" s="4" t="s">
        <v>17</v>
      </c>
      <c r="B10" s="5">
        <v>46143</v>
      </c>
      <c r="C10" s="6">
        <v>1500</v>
      </c>
      <c r="D10" s="7">
        <v>38</v>
      </c>
      <c r="E10" s="6"/>
      <c r="F10" s="6">
        <f>IF(A10="","",IFERROR(LOOKUP(2,1/(A$4:A9=A10),F$4:F9),0)+IF(ISNUMBER(C10),C10,0)-IF(ISNUMBER(E10),E10,0))</f>
        <v>2045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33.899717803173097</v>
      </c>
      <c r="I10" s="7"/>
    </row>
    <row r="11" spans="1:9" x14ac:dyDescent="0.4">
      <c r="A11" s="4" t="s">
        <v>17</v>
      </c>
      <c r="B11" s="5">
        <v>46143</v>
      </c>
      <c r="C11" s="6"/>
      <c r="D11" s="7">
        <v>22.61</v>
      </c>
      <c r="E11" s="6">
        <v>229</v>
      </c>
      <c r="F11" s="6">
        <f>IF(A11="","",IFERROR(LOOKUP(2,1/(A$4:A10=A11),F$4:F10),0)+IF(ISNUMBER(C11),C11,0)-IF(ISNUMBER(E11),E11,0))</f>
        <v>1816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33.899717803173097</v>
      </c>
      <c r="I11" s="7"/>
    </row>
    <row r="12" spans="1:9" x14ac:dyDescent="0.4">
      <c r="A12" s="4" t="s">
        <v>17</v>
      </c>
      <c r="B12" s="5">
        <v>46174</v>
      </c>
      <c r="C12" s="6"/>
      <c r="D12" s="7">
        <v>33.9</v>
      </c>
      <c r="E12" s="6">
        <v>531</v>
      </c>
      <c r="F12" s="6">
        <f>IF(A12="","",IFERROR(LOOKUP(2,1/(A$4:A11=A12),F$4:F11),0)+IF(ISNUMBER(C12),C12,0)-IF(ISNUMBER(E12),E12,0))</f>
        <v>1285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33.899717803173097</v>
      </c>
      <c r="I12" s="7"/>
    </row>
    <row r="13" spans="1:9" x14ac:dyDescent="0.4">
      <c r="A13" s="4" t="s">
        <v>17</v>
      </c>
      <c r="B13" s="5">
        <v>46204</v>
      </c>
      <c r="C13" s="6"/>
      <c r="D13" s="7">
        <v>33.9</v>
      </c>
      <c r="E13" s="6">
        <v>245</v>
      </c>
      <c r="F13" s="6">
        <f>IF(A13="","",IFERROR(LOOKUP(2,1/(A$4:A12=A13),F$4:F12),0)+IF(ISNUMBER(C13),C13,0)-IF(ISNUMBER(E13),E13,0))</f>
        <v>1040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33.899717803173097</v>
      </c>
      <c r="I13" s="7"/>
    </row>
    <row r="14" spans="1:9" x14ac:dyDescent="0.4">
      <c r="A14" s="4" t="s">
        <v>17</v>
      </c>
      <c r="B14" s="5">
        <v>46235</v>
      </c>
      <c r="C14" s="6"/>
      <c r="D14" s="7">
        <v>33.9</v>
      </c>
      <c r="E14" s="6">
        <v>455</v>
      </c>
      <c r="F14" s="6">
        <f>IF(A14="","",IFERROR(LOOKUP(2,1/(A$4:A13=A14),F$4:F13),0)+IF(ISNUMBER(C14),C14,0)-IF(ISNUMBER(E14),E14,0))</f>
        <v>585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33.899717803173097</v>
      </c>
      <c r="I14" s="7"/>
    </row>
    <row r="15" spans="1:9" x14ac:dyDescent="0.4">
      <c r="A15" s="4" t="s">
        <v>17</v>
      </c>
      <c r="B15" s="5">
        <v>46266</v>
      </c>
      <c r="C15" s="6"/>
      <c r="D15" s="7">
        <v>33.9</v>
      </c>
      <c r="E15" s="6"/>
      <c r="F15" s="6">
        <f>IF(A15="","",IFERROR(LOOKUP(2,1/(A$4:A14=A15),F$4:F14),0)+IF(ISNUMBER(C15),C15,0)-IF(ISNUMBER(E15),E15,0))</f>
        <v>585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33.899717803173097</v>
      </c>
      <c r="I15" s="7"/>
    </row>
    <row r="16" spans="1:9" x14ac:dyDescent="0.4">
      <c r="A16" s="4" t="s">
        <v>16</v>
      </c>
      <c r="B16" s="5">
        <v>45992</v>
      </c>
      <c r="C16" s="6">
        <v>1749</v>
      </c>
      <c r="D16" s="7">
        <v>15.5</v>
      </c>
      <c r="E16" s="6">
        <v>634</v>
      </c>
      <c r="F16" s="6">
        <f>IF(A16="","",IFERROR(LOOKUP(2,1/(A$4:A15=A16),F$4:F15),0)+IF(ISNUMBER(C16),C16,0)-IF(ISNUMBER(E16),E16,0))</f>
        <v>1115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15.5</v>
      </c>
      <c r="I16" s="7"/>
    </row>
    <row r="17" spans="1:9" x14ac:dyDescent="0.4">
      <c r="A17" s="4" t="s">
        <v>16</v>
      </c>
      <c r="B17" s="5">
        <v>46023</v>
      </c>
      <c r="C17" s="6"/>
      <c r="D17" s="7">
        <v>15.5</v>
      </c>
      <c r="E17" s="6">
        <v>954</v>
      </c>
      <c r="F17" s="6">
        <f>IF(A17="","",IFERROR(LOOKUP(2,1/(A$4:A16=A17),F$4:F16),0)+IF(ISNUMBER(C17),C17,0)-IF(ISNUMBER(E17),E17,0))</f>
        <v>161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15.5</v>
      </c>
      <c r="I17" s="7"/>
    </row>
    <row r="18" spans="1:9" x14ac:dyDescent="0.4">
      <c r="A18" s="4" t="s">
        <v>16</v>
      </c>
      <c r="B18" s="5">
        <v>46054</v>
      </c>
      <c r="C18" s="6">
        <v>2000</v>
      </c>
      <c r="D18" s="7">
        <v>50</v>
      </c>
      <c r="E18" s="6">
        <v>420</v>
      </c>
      <c r="F18" s="6">
        <f>IF(A18="","",IFERROR(LOOKUP(2,1/(A$4:A17=A18),F$4:F17),0)+IF(ISNUMBER(C18),C18,0)-IF(ISNUMBER(E18),E18,0))</f>
        <v>1741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47.429662193428967</v>
      </c>
      <c r="I18" s="7"/>
    </row>
    <row r="19" spans="1:9" x14ac:dyDescent="0.4">
      <c r="A19" s="4" t="s">
        <v>16</v>
      </c>
      <c r="B19" s="5">
        <v>46054</v>
      </c>
      <c r="C19" s="6"/>
      <c r="D19" s="7">
        <v>15.5</v>
      </c>
      <c r="E19" s="6">
        <v>161</v>
      </c>
      <c r="F19" s="6">
        <f>IF(A19="","",IFERROR(LOOKUP(2,1/(A$4:A18=A19),F$4:F18),0)+IF(ISNUMBER(C19),C19,0)-IF(ISNUMBER(E19),E19,0))</f>
        <v>1580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47.429662193428967</v>
      </c>
      <c r="I19" s="7"/>
    </row>
    <row r="20" spans="1:9" x14ac:dyDescent="0.4">
      <c r="A20" s="4" t="s">
        <v>16</v>
      </c>
      <c r="B20" s="5">
        <v>46082</v>
      </c>
      <c r="C20" s="6">
        <v>500</v>
      </c>
      <c r="D20" s="7">
        <v>63</v>
      </c>
      <c r="E20" s="6"/>
      <c r="F20" s="6">
        <f>IF(A20="","",IFERROR(LOOKUP(2,1/(A$4:A19=A20),F$4:F19),0)+IF(ISNUMBER(C20),C20,0)-IF(ISNUMBER(E20),E20,0))</f>
        <v>2080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51.17253185847008</v>
      </c>
      <c r="I20" s="7"/>
    </row>
    <row r="21" spans="1:9" x14ac:dyDescent="0.4">
      <c r="A21" s="4" t="s">
        <v>16</v>
      </c>
      <c r="B21" s="5">
        <v>46082</v>
      </c>
      <c r="C21" s="6">
        <v>1000</v>
      </c>
      <c r="D21" s="7">
        <v>58</v>
      </c>
      <c r="E21" s="6"/>
      <c r="F21" s="6">
        <f>IF(A21="","",IFERROR(LOOKUP(2,1/(A$4:A20=A21),F$4:F20),0)+IF(ISNUMBER(C21),C21,0)-IF(ISNUMBER(E21),E21,0))</f>
        <v>3080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53.389242294031746</v>
      </c>
      <c r="I21" s="7"/>
    </row>
    <row r="22" spans="1:9" x14ac:dyDescent="0.4">
      <c r="A22" s="4" t="s">
        <v>16</v>
      </c>
      <c r="B22" s="5">
        <v>46082</v>
      </c>
      <c r="C22" s="6"/>
      <c r="D22" s="7">
        <v>47.43</v>
      </c>
      <c r="E22" s="6">
        <v>1048</v>
      </c>
      <c r="F22" s="6">
        <f>IF(A22="","",IFERROR(LOOKUP(2,1/(A$4:A21=A22),F$4:F21),0)+IF(ISNUMBER(C22),C22,0)-IF(ISNUMBER(E22),E22,0))</f>
        <v>2032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53.389242294031746</v>
      </c>
      <c r="I22" s="7"/>
    </row>
    <row r="23" spans="1:9" x14ac:dyDescent="0.4">
      <c r="A23" s="4" t="s">
        <v>16</v>
      </c>
      <c r="B23" s="5">
        <v>46113</v>
      </c>
      <c r="C23" s="6">
        <v>2000</v>
      </c>
      <c r="D23" s="7">
        <v>68</v>
      </c>
      <c r="E23" s="6"/>
      <c r="F23" s="6">
        <f>IF(A23="","",IFERROR(LOOKUP(2,1/(A$4:A22=A23),F$4:F22),0)+IF(ISNUMBER(C23),C23,0)-IF(ISNUMBER(E23),E23,0))</f>
        <v>4032</v>
      </c>
      <c r="G23" s="11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>60.636641949769967</v>
      </c>
      <c r="I23" s="7"/>
    </row>
    <row r="24" spans="1:9" x14ac:dyDescent="0.4">
      <c r="A24" s="4" t="s">
        <v>16</v>
      </c>
      <c r="B24" s="5">
        <v>46113</v>
      </c>
      <c r="C24" s="6"/>
      <c r="D24" s="7">
        <v>53.39</v>
      </c>
      <c r="E24" s="6">
        <v>869</v>
      </c>
      <c r="F24" s="6">
        <f>IF(A24="","",IFERROR(LOOKUP(2,1/(A$4:A23=A24),F$4:F23),0)+IF(ISNUMBER(C24),C24,0)-IF(ISNUMBER(E24),E24,0))</f>
        <v>3163</v>
      </c>
      <c r="G24" s="11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>60.636641949769967</v>
      </c>
      <c r="I24" s="7"/>
    </row>
    <row r="25" spans="1:9" x14ac:dyDescent="0.4">
      <c r="A25" s="4" t="s">
        <v>16</v>
      </c>
      <c r="B25" s="5">
        <v>46143</v>
      </c>
      <c r="C25" s="6">
        <v>2000</v>
      </c>
      <c r="D25" s="7">
        <v>67</v>
      </c>
      <c r="E25" s="6"/>
      <c r="F25" s="6">
        <f>IF(A25="","",IFERROR(LOOKUP(2,1/(A$4:A24=A25),F$4:F24),0)+IF(ISNUMBER(C25),C25,0)-IF(ISNUMBER(E25),E25,0))</f>
        <v>5163</v>
      </c>
      <c r="G25" s="11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>63.10162666804618</v>
      </c>
      <c r="I25" s="7"/>
    </row>
    <row r="26" spans="1:9" x14ac:dyDescent="0.4">
      <c r="A26" s="4" t="s">
        <v>16</v>
      </c>
      <c r="B26" s="5">
        <v>46143</v>
      </c>
      <c r="C26" s="6"/>
      <c r="D26" s="7">
        <v>60.64</v>
      </c>
      <c r="E26" s="6">
        <v>623</v>
      </c>
      <c r="F26" s="6">
        <f>IF(A26="","",IFERROR(LOOKUP(2,1/(A$4:A25=A26),F$4:F25),0)+IF(ISNUMBER(C26),C26,0)-IF(ISNUMBER(E26),E26,0))</f>
        <v>4540</v>
      </c>
      <c r="G26" s="11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>63.10162666804618</v>
      </c>
      <c r="I26" s="7"/>
    </row>
    <row r="27" spans="1:9" x14ac:dyDescent="0.4">
      <c r="A27" s="4" t="s">
        <v>16</v>
      </c>
      <c r="B27" s="5">
        <v>46174</v>
      </c>
      <c r="C27" s="6"/>
      <c r="D27" s="7">
        <v>63.1</v>
      </c>
      <c r="E27" s="6">
        <v>269</v>
      </c>
      <c r="F27" s="6">
        <f>IF(A27="","",IFERROR(LOOKUP(2,1/(A$4:A26=A27),F$4:F26),0)+IF(ISNUMBER(C27),C27,0)-IF(ISNUMBER(E27),E27,0))</f>
        <v>4271</v>
      </c>
      <c r="G27" s="11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>63.10162666804618</v>
      </c>
      <c r="I27" s="7"/>
    </row>
    <row r="28" spans="1:9" x14ac:dyDescent="0.4">
      <c r="A28" s="4" t="s">
        <v>16</v>
      </c>
      <c r="B28" s="5">
        <v>46204</v>
      </c>
      <c r="C28" s="6"/>
      <c r="D28" s="7">
        <v>63.1</v>
      </c>
      <c r="E28" s="6">
        <v>282</v>
      </c>
      <c r="F28" s="6">
        <f>IF(A28="","",IFERROR(LOOKUP(2,1/(A$4:A27=A28),F$4:F27),0)+IF(ISNUMBER(C28),C28,0)-IF(ISNUMBER(E28),E28,0))</f>
        <v>3989</v>
      </c>
      <c r="G28" s="11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>63.10162666804618</v>
      </c>
      <c r="I28" s="7"/>
    </row>
    <row r="29" spans="1:9" x14ac:dyDescent="0.4">
      <c r="A29" s="4" t="s">
        <v>16</v>
      </c>
      <c r="B29" s="5">
        <v>46235</v>
      </c>
      <c r="C29" s="6"/>
      <c r="D29" s="7">
        <v>63.1</v>
      </c>
      <c r="E29" s="6">
        <v>435</v>
      </c>
      <c r="F29" s="6">
        <f>IF(A29="","",IFERROR(LOOKUP(2,1/(A$4:A28=A29),F$4:F28),0)+IF(ISNUMBER(C29),C29,0)-IF(ISNUMBER(E29),E29,0))</f>
        <v>3554</v>
      </c>
      <c r="G29" s="11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>63.10162666804618</v>
      </c>
      <c r="I29" s="7"/>
    </row>
    <row r="30" spans="1:9" x14ac:dyDescent="0.4">
      <c r="A30" s="4" t="s">
        <v>16</v>
      </c>
      <c r="B30" s="5">
        <v>46266</v>
      </c>
      <c r="C30" s="6"/>
      <c r="D30" s="7">
        <v>63.1</v>
      </c>
      <c r="E30" s="6"/>
      <c r="F30" s="6">
        <f>IF(A30="","",IFERROR(LOOKUP(2,1/(A$4:A29=A30),F$4:F29),0)+IF(ISNUMBER(C30),C30,0)-IF(ISNUMBER(E30),E30,0))</f>
        <v>3554</v>
      </c>
      <c r="G30" s="11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>63.10162666804618</v>
      </c>
      <c r="I30" s="7"/>
    </row>
    <row r="31" spans="1:9" x14ac:dyDescent="0.4">
      <c r="A31" s="4"/>
      <c r="B31" s="5"/>
      <c r="C31" s="6"/>
      <c r="D31" s="7"/>
      <c r="E31" s="6"/>
      <c r="F31" s="6" t="str">
        <f>IF(A31="","",IFERROR(LOOKUP(2,1/(A$4:A30=A31),F$4:F30),0)+IF(ISNUMBER(C31),C31,0)-IF(ISNUMBER(E31),E31,0))</f>
        <v/>
      </c>
      <c r="G31" s="11" t="str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/>
      </c>
      <c r="I31" s="7"/>
    </row>
    <row r="32" spans="1:9" x14ac:dyDescent="0.4">
      <c r="A32" s="4"/>
      <c r="B32" s="5"/>
      <c r="C32" s="6"/>
      <c r="D32" s="7"/>
      <c r="E32" s="6"/>
      <c r="F32" s="6" t="str">
        <f>IF(A32="","",IFERROR(LOOKUP(2,1/(A$4:A31=A32),F$4:F31),0)+IF(ISNUMBER(C32),C32,0)-IF(ISNUMBER(E32),E32,0))</f>
        <v/>
      </c>
      <c r="G32" s="11" t="str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/>
      </c>
      <c r="I32" s="7"/>
    </row>
    <row r="33" spans="1:9" x14ac:dyDescent="0.4">
      <c r="A33" s="4"/>
      <c r="B33" s="5"/>
      <c r="C33" s="6"/>
      <c r="D33" s="7"/>
      <c r="E33" s="6"/>
      <c r="F33" s="6" t="str">
        <f>IF(A33="","",IFERROR(LOOKUP(2,1/(A$4:A32=A33),F$4:F32),0)+IF(ISNUMBER(C33),C33,0)-IF(ISNUMBER(E33),E33,0))</f>
        <v/>
      </c>
      <c r="G33" s="11" t="str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/>
      </c>
      <c r="I33" s="7"/>
    </row>
    <row r="34" spans="1:9" x14ac:dyDescent="0.4">
      <c r="A34" s="4"/>
      <c r="B34" s="5"/>
      <c r="C34" s="6"/>
      <c r="D34" s="7"/>
      <c r="E34" s="6"/>
      <c r="F34" s="6" t="str">
        <f>IF(A34="","",IFERROR(LOOKUP(2,1/(A$4:A33=A34),F$4:F33),0)+IF(ISNUMBER(C34),C34,0)-IF(ISNUMBER(E34),E34,0))</f>
        <v/>
      </c>
      <c r="G34" s="11" t="str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/>
      </c>
      <c r="I34" s="7"/>
    </row>
    <row r="35" spans="1:9" x14ac:dyDescent="0.4">
      <c r="A35" s="4"/>
      <c r="B35" s="5"/>
      <c r="C35" s="6"/>
      <c r="D35" s="7"/>
      <c r="E35" s="6"/>
      <c r="F35" s="6" t="str">
        <f>IF(A35="","",IFERROR(LOOKUP(2,1/(A$4:A34=A35),F$4:F34),0)+IF(ISNUMBER(C35),C35,0)-IF(ISNUMBER(E35),E35,0))</f>
        <v/>
      </c>
      <c r="G35" s="11" t="str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/>
      </c>
      <c r="I35" s="7"/>
    </row>
    <row r="36" spans="1:9" x14ac:dyDescent="0.4">
      <c r="A36" s="4"/>
      <c r="B36" s="5"/>
      <c r="C36" s="6"/>
      <c r="D36" s="7"/>
      <c r="E36" s="6"/>
      <c r="F36" s="6" t="str">
        <f>IF(A36="","",IFERROR(LOOKUP(2,1/(A$4:A35=A36),F$4:F35),0)+IF(ISNUMBER(C36),C36,0)-IF(ISNUMBER(E36),E36,0))</f>
        <v/>
      </c>
      <c r="G36" s="11" t="str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/>
      </c>
      <c r="I36" s="7"/>
    </row>
    <row r="37" spans="1:9" x14ac:dyDescent="0.4">
      <c r="A37" s="4"/>
      <c r="B37" s="5"/>
      <c r="C37" s="6"/>
      <c r="D37" s="7"/>
      <c r="E37" s="6"/>
      <c r="F37" s="6" t="str">
        <f>IF(A37="","",IFERROR(LOOKUP(2,1/(A$4:A36=A37),F$4:F36),0)+IF(ISNUMBER(C37),C37,0)-IF(ISNUMBER(E37),E37,0))</f>
        <v/>
      </c>
      <c r="G37" s="11" t="str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/>
      </c>
      <c r="I37" s="7"/>
    </row>
    <row r="38" spans="1:9" x14ac:dyDescent="0.4">
      <c r="A38" s="4"/>
      <c r="B38" s="5"/>
      <c r="C38" s="6"/>
      <c r="D38" s="7"/>
      <c r="E38" s="6"/>
      <c r="F38" s="6" t="str">
        <f>IF(A38="","",IFERROR(LOOKUP(2,1/(A$4:A37=A38),F$4:F37),0)+IF(ISNUMBER(C38),C38,0)-IF(ISNUMBER(E38),E38,0))</f>
        <v/>
      </c>
      <c r="G38" s="11" t="str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/>
      </c>
      <c r="I38" s="7"/>
    </row>
    <row r="39" spans="1:9" x14ac:dyDescent="0.4">
      <c r="A39" s="4"/>
      <c r="B39" s="5"/>
      <c r="C39" s="6"/>
      <c r="D39" s="7"/>
      <c r="E39" s="6"/>
      <c r="F39" s="6" t="str">
        <f>IF(A39="","",IFERROR(LOOKUP(2,1/(A$4:A38=A39),F$4:F38),0)+IF(ISNUMBER(C39),C39,0)-IF(ISNUMBER(E39),E39,0))</f>
        <v/>
      </c>
      <c r="G39" s="11" t="str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/>
      </c>
      <c r="I39" s="7"/>
    </row>
    <row r="40" spans="1:9" x14ac:dyDescent="0.4">
      <c r="A40" s="4"/>
      <c r="B40" s="5"/>
      <c r="C40" s="6"/>
      <c r="D40" s="7"/>
      <c r="E40" s="6"/>
      <c r="F40" s="6" t="str">
        <f>IF(A40="","",IFERROR(LOOKUP(2,1/(A$4:A39=A40),F$4:F39),0)+IF(ISNUMBER(C40),C40,0)-IF(ISNUMBER(E40),E40,0))</f>
        <v/>
      </c>
      <c r="G40" s="11" t="str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/>
      </c>
      <c r="I40" s="7"/>
    </row>
    <row r="41" spans="1:9" x14ac:dyDescent="0.4">
      <c r="A41" s="4"/>
      <c r="B41" s="5"/>
      <c r="C41" s="6"/>
      <c r="D41" s="7"/>
      <c r="E41" s="6"/>
      <c r="F41" s="6" t="str">
        <f>IF(A41="","",IFERROR(LOOKUP(2,1/(A$4:A40=A41),F$4:F40),0)+IF(ISNUMBER(C41),C41,0)-IF(ISNUMBER(E41),E41,0))</f>
        <v/>
      </c>
      <c r="G41" s="11" t="str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/>
      </c>
      <c r="I41" s="7"/>
    </row>
    <row r="42" spans="1:9" x14ac:dyDescent="0.4">
      <c r="A42" s="4"/>
      <c r="B42" s="5"/>
      <c r="C42" s="6"/>
      <c r="D42" s="7"/>
      <c r="E42" s="6"/>
      <c r="F42" s="6" t="str">
        <f>IF(A42="","",IFERROR(LOOKUP(2,1/(A$4:A41=A42),F$4:F41),0)+IF(ISNUMBER(C42),C42,0)-IF(ISNUMBER(E42),E42,0))</f>
        <v/>
      </c>
      <c r="G42" s="11" t="str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/>
      </c>
      <c r="I42" s="7"/>
    </row>
    <row r="43" spans="1:9" x14ac:dyDescent="0.4">
      <c r="A43" s="4"/>
      <c r="B43" s="5"/>
      <c r="C43" s="6"/>
      <c r="D43" s="7"/>
      <c r="E43" s="6"/>
      <c r="F43" s="6" t="str">
        <f>IF(A43="","",IFERROR(LOOKUP(2,1/(A$4:A42=A43),F$4:F42),0)+IF(ISNUMBER(C43),C43,0)-IF(ISNUMBER(E43),E43,0))</f>
        <v/>
      </c>
      <c r="G43" s="11" t="str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/>
      </c>
      <c r="I43" s="7"/>
    </row>
    <row r="44" spans="1:9" x14ac:dyDescent="0.4">
      <c r="A44" s="4"/>
      <c r="B44" s="5"/>
      <c r="C44" s="6"/>
      <c r="D44" s="7"/>
      <c r="E44" s="6"/>
      <c r="F44" s="6" t="str">
        <f>IF(A44="","",IFERROR(LOOKUP(2,1/(A$4:A43=A44),F$4:F43),0)+IF(ISNUMBER(C44),C44,0)-IF(ISNUMBER(E44),E44,0))</f>
        <v/>
      </c>
      <c r="G44" s="11" t="str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/>
      </c>
      <c r="I44" s="7"/>
    </row>
    <row r="45" spans="1:9" x14ac:dyDescent="0.4">
      <c r="A45" s="4"/>
      <c r="B45" s="5"/>
      <c r="C45" s="6"/>
      <c r="D45" s="7"/>
      <c r="E45" s="6"/>
      <c r="F45" s="6" t="str">
        <f>IF(A45="","",IFERROR(LOOKUP(2,1/(A$4:A44=A45),F$4:F44),0)+IF(ISNUMBER(C45),C45,0)-IF(ISNUMBER(E45),E45,0))</f>
        <v/>
      </c>
      <c r="G45" s="11" t="str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/>
      </c>
      <c r="I45" s="7"/>
    </row>
    <row r="46" spans="1:9" x14ac:dyDescent="0.4">
      <c r="A46" s="4"/>
      <c r="B46" s="5"/>
      <c r="C46" s="6"/>
      <c r="D46" s="7"/>
      <c r="E46" s="6"/>
      <c r="F46" s="6" t="str">
        <f>IF(A46="","",IFERROR(LOOKUP(2,1/(A$4:A45=A46),F$4:F45),0)+IF(ISNUMBER(C46),C46,0)-IF(ISNUMBER(E46),E46,0))</f>
        <v/>
      </c>
      <c r="G46" s="11" t="str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/>
      </c>
      <c r="I46" s="7"/>
    </row>
    <row r="47" spans="1:9" x14ac:dyDescent="0.4">
      <c r="A47" s="4"/>
      <c r="B47" s="5"/>
      <c r="C47" s="6"/>
      <c r="D47" s="7"/>
      <c r="E47" s="6"/>
      <c r="F47" s="6" t="str">
        <f>IF(A47="","",IFERROR(LOOKUP(2,1/(A$4:A46=A47),F$4:F46),0)+IF(ISNUMBER(C47),C47,0)-IF(ISNUMBER(E47),E47,0))</f>
        <v/>
      </c>
      <c r="G47" s="11" t="str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/>
      </c>
      <c r="I47" s="7"/>
    </row>
    <row r="48" spans="1:9" x14ac:dyDescent="0.4">
      <c r="A48" s="4"/>
      <c r="B48" s="5"/>
      <c r="C48" s="6"/>
      <c r="D48" s="7"/>
      <c r="E48" s="6"/>
      <c r="F48" s="6" t="str">
        <f>IF(A48="","",IFERROR(LOOKUP(2,1/(A$4:A47=A48),F$4:F47),0)+IF(ISNUMBER(C48),C48,0)-IF(ISNUMBER(E48),E48,0))</f>
        <v/>
      </c>
      <c r="G48" s="11" t="str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/>
      </c>
      <c r="I48" s="7"/>
    </row>
    <row r="49" spans="1:9" x14ac:dyDescent="0.4">
      <c r="A49" s="4"/>
      <c r="B49" s="5"/>
      <c r="C49" s="6"/>
      <c r="D49" s="7"/>
      <c r="E49" s="6"/>
      <c r="F49" s="6" t="str">
        <f>IF(A49="","",IFERROR(LOOKUP(2,1/(A$4:A48=A49),F$4:F48),0)+IF(ISNUMBER(C49),C49,0)-IF(ISNUMBER(E49),E49,0))</f>
        <v/>
      </c>
      <c r="G49" s="11" t="str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/>
      </c>
      <c r="I49" s="7"/>
    </row>
    <row r="50" spans="1:9" x14ac:dyDescent="0.4">
      <c r="A50" s="4"/>
      <c r="B50" s="5"/>
      <c r="C50" s="6"/>
      <c r="D50" s="7"/>
      <c r="E50" s="6"/>
      <c r="F50" s="6" t="str">
        <f>IF(A50="","",IFERROR(LOOKUP(2,1/(A$4:A49=A50),F$4:F49),0)+IF(ISNUMBER(C50),C50,0)-IF(ISNUMBER(E50),E50,0))</f>
        <v/>
      </c>
      <c r="G50" s="11" t="str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/>
      </c>
      <c r="I50" s="7"/>
    </row>
    <row r="51" spans="1:9" x14ac:dyDescent="0.4">
      <c r="A51" s="4"/>
      <c r="B51" s="5"/>
      <c r="C51" s="6"/>
      <c r="D51" s="7"/>
      <c r="E51" s="6"/>
      <c r="F51" s="6" t="str">
        <f>IF(A51="","",IFERROR(LOOKUP(2,1/(A$4:A50=A51),F$4:F50),0)+IF(ISNUMBER(C51),C51,0)-IF(ISNUMBER(E51),E51,0))</f>
        <v/>
      </c>
      <c r="G51" s="11" t="str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/>
      </c>
      <c r="I51" s="7"/>
    </row>
    <row r="52" spans="1:9" x14ac:dyDescent="0.4">
      <c r="A52" s="4"/>
      <c r="B52" s="5"/>
      <c r="C52" s="6"/>
      <c r="D52" s="7"/>
      <c r="E52" s="6"/>
      <c r="F52" s="6" t="str">
        <f>IF(A52="","",IFERROR(LOOKUP(2,1/(A$4:A51=A52),F$4:F51),0)+IF(ISNUMBER(C52),C52,0)-IF(ISNUMBER(E52),E52,0))</f>
        <v/>
      </c>
      <c r="G52" s="11" t="str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/>
      </c>
      <c r="I52" s="7"/>
    </row>
    <row r="53" spans="1:9" x14ac:dyDescent="0.4">
      <c r="A53" s="4"/>
      <c r="B53" s="5"/>
      <c r="C53" s="6"/>
      <c r="D53" s="7"/>
      <c r="E53" s="6"/>
      <c r="F53" s="6" t="str">
        <f>IF(A53="","",IFERROR(LOOKUP(2,1/(A$4:A52=A53),F$4:F52),0)+IF(ISNUMBER(C53),C53,0)-IF(ISNUMBER(E53),E53,0))</f>
        <v/>
      </c>
      <c r="G53" s="11" t="str">
        <f>IF(A53="","",IF(IF(ISNUMBER(C53),C53,0)=0,IFERROR(LOOKUP(2,1/(A$4:A52=A53),G$4:G52),IF(ISNUMBER(D53),D53,"")),IF(IFERROR(LOOKUP(2,1/(A$4:A52=A53),F$4:F52),0)&lt;=0,D53,(MAX(0,IFERROR(LOOKUP(2,1/(A$4:A52=A53),F$4:F52),0))*IFERROR(LOOKUP(2,1/(A$4:A52=A53),G$4:G52),0)+C53*D53)/(MAX(0,IFERROR(LOOKUP(2,1/(A$4:A52=A53),F$4:F52),0))+C53))))</f>
        <v/>
      </c>
      <c r="I53" s="7"/>
    </row>
    <row r="54" spans="1:9" x14ac:dyDescent="0.4">
      <c r="A54" s="4"/>
      <c r="B54" s="5"/>
      <c r="C54" s="6"/>
      <c r="D54" s="7"/>
      <c r="E54" s="6"/>
      <c r="F54" s="6" t="str">
        <f>IF(A54="","",IFERROR(LOOKUP(2,1/(A$4:A53=A54),F$4:F53),0)+IF(ISNUMBER(C54),C54,0)-IF(ISNUMBER(E54),E54,0))</f>
        <v/>
      </c>
      <c r="G54" s="11" t="str">
        <f>IF(A54="","",IF(IF(ISNUMBER(C54),C54,0)=0,IFERROR(LOOKUP(2,1/(A$4:A53=A54),G$4:G53),IF(ISNUMBER(D54),D54,"")),IF(IFERROR(LOOKUP(2,1/(A$4:A53=A54),F$4:F53),0)&lt;=0,D54,(MAX(0,IFERROR(LOOKUP(2,1/(A$4:A53=A54),F$4:F53),0))*IFERROR(LOOKUP(2,1/(A$4:A53=A54),G$4:G53),0)+C54*D54)/(MAX(0,IFERROR(LOOKUP(2,1/(A$4:A53=A54),F$4:F53),0))+C54))))</f>
        <v/>
      </c>
      <c r="I54" s="7"/>
    </row>
    <row r="55" spans="1:9" x14ac:dyDescent="0.4">
      <c r="A55" s="4"/>
      <c r="B55" s="5"/>
      <c r="C55" s="6"/>
      <c r="D55" s="7"/>
      <c r="E55" s="6"/>
      <c r="F55" s="6" t="str">
        <f>IF(A55="","",IFERROR(LOOKUP(2,1/(A$4:A54=A55),F$4:F54),0)+IF(ISNUMBER(C55),C55,0)-IF(ISNUMBER(E55),E55,0))</f>
        <v/>
      </c>
      <c r="G55" s="11" t="str">
        <f>IF(A55="","",IF(IF(ISNUMBER(C55),C55,0)=0,IFERROR(LOOKUP(2,1/(A$4:A54=A55),G$4:G54),IF(ISNUMBER(D55),D55,"")),IF(IFERROR(LOOKUP(2,1/(A$4:A54=A55),F$4:F54),0)&lt;=0,D55,(MAX(0,IFERROR(LOOKUP(2,1/(A$4:A54=A55),F$4:F54),0))*IFERROR(LOOKUP(2,1/(A$4:A54=A55),G$4:G54),0)+C55*D55)/(MAX(0,IFERROR(LOOKUP(2,1/(A$4:A54=A55),F$4:F54),0))+C55))))</f>
        <v/>
      </c>
      <c r="I55" s="7"/>
    </row>
    <row r="56" spans="1:9" x14ac:dyDescent="0.4">
      <c r="A56" s="4"/>
      <c r="B56" s="5"/>
      <c r="C56" s="6"/>
      <c r="D56" s="7"/>
      <c r="E56" s="6"/>
      <c r="F56" s="6" t="str">
        <f>IF(A56="","",IFERROR(LOOKUP(2,1/(A$4:A55=A56),F$4:F55),0)+IF(ISNUMBER(C56),C56,0)-IF(ISNUMBER(E56),E56,0))</f>
        <v/>
      </c>
      <c r="G56" s="11" t="str">
        <f>IF(A56="","",IF(IF(ISNUMBER(C56),C56,0)=0,IFERROR(LOOKUP(2,1/(A$4:A55=A56),G$4:G55),IF(ISNUMBER(D56),D56,"")),IF(IFERROR(LOOKUP(2,1/(A$4:A55=A56),F$4:F55),0)&lt;=0,D56,(MAX(0,IFERROR(LOOKUP(2,1/(A$4:A55=A56),F$4:F55),0))*IFERROR(LOOKUP(2,1/(A$4:A55=A56),G$4:G55),0)+C56*D56)/(MAX(0,IFERROR(LOOKUP(2,1/(A$4:A55=A56),F$4:F55),0))+C56))))</f>
        <v/>
      </c>
      <c r="I56" s="7"/>
    </row>
    <row r="57" spans="1:9" x14ac:dyDescent="0.4">
      <c r="A57" s="4"/>
      <c r="B57" s="5"/>
      <c r="C57" s="6"/>
      <c r="D57" s="7"/>
      <c r="E57" s="6"/>
      <c r="F57" s="6" t="str">
        <f>IF(A57="","",IFERROR(LOOKUP(2,1/(A$4:A56=A57),F$4:F56),0)+IF(ISNUMBER(C57),C57,0)-IF(ISNUMBER(E57),E57,0))</f>
        <v/>
      </c>
      <c r="G57" s="11" t="str">
        <f>IF(A57="","",IF(IF(ISNUMBER(C57),C57,0)=0,IFERROR(LOOKUP(2,1/(A$4:A56=A57),G$4:G56),IF(ISNUMBER(D57),D57,"")),IF(IFERROR(LOOKUP(2,1/(A$4:A56=A57),F$4:F56),0)&lt;=0,D57,(MAX(0,IFERROR(LOOKUP(2,1/(A$4:A56=A57),F$4:F56),0))*IFERROR(LOOKUP(2,1/(A$4:A56=A57),G$4:G56),0)+C57*D57)/(MAX(0,IFERROR(LOOKUP(2,1/(A$4:A56=A57),F$4:F56),0))+C57))))</f>
        <v/>
      </c>
      <c r="I57" s="7"/>
    </row>
    <row r="58" spans="1:9" x14ac:dyDescent="0.4">
      <c r="A58" s="4"/>
      <c r="B58" s="5"/>
      <c r="C58" s="6"/>
      <c r="D58" s="7"/>
      <c r="E58" s="6"/>
      <c r="F58" s="6" t="str">
        <f>IF(A58="","",IFERROR(LOOKUP(2,1/(A$4:A57=A58),F$4:F57),0)+IF(ISNUMBER(C58),C58,0)-IF(ISNUMBER(E58),E58,0))</f>
        <v/>
      </c>
      <c r="G58" s="11" t="str">
        <f>IF(A58="","",IF(IF(ISNUMBER(C58),C58,0)=0,IFERROR(LOOKUP(2,1/(A$4:A57=A58),G$4:G57),IF(ISNUMBER(D58),D58,"")),IF(IFERROR(LOOKUP(2,1/(A$4:A57=A58),F$4:F57),0)&lt;=0,D58,(MAX(0,IFERROR(LOOKUP(2,1/(A$4:A57=A58),F$4:F57),0))*IFERROR(LOOKUP(2,1/(A$4:A57=A58),G$4:G57),0)+C58*D58)/(MAX(0,IFERROR(LOOKUP(2,1/(A$4:A57=A58),F$4:F57),0))+C58))))</f>
        <v/>
      </c>
      <c r="I58" s="7"/>
    </row>
    <row r="59" spans="1:9" x14ac:dyDescent="0.4">
      <c r="A59" s="4"/>
      <c r="B59" s="5"/>
      <c r="C59" s="6"/>
      <c r="D59" s="7"/>
      <c r="E59" s="6"/>
      <c r="F59" s="6" t="str">
        <f>IF(A59="","",IFERROR(LOOKUP(2,1/(A$4:A58=A59),F$4:F58),0)+IF(ISNUMBER(C59),C59,0)-IF(ISNUMBER(E59),E59,0))</f>
        <v/>
      </c>
      <c r="G59" s="11" t="str">
        <f>IF(A59="","",IF(IF(ISNUMBER(C59),C59,0)=0,IFERROR(LOOKUP(2,1/(A$4:A58=A59),G$4:G58),IF(ISNUMBER(D59),D59,"")),IF(IFERROR(LOOKUP(2,1/(A$4:A58=A59),F$4:F58),0)&lt;=0,D59,(MAX(0,IFERROR(LOOKUP(2,1/(A$4:A58=A59),F$4:F58),0))*IFERROR(LOOKUP(2,1/(A$4:A58=A59),G$4:G58),0)+C59*D59)/(MAX(0,IFERROR(LOOKUP(2,1/(A$4:A58=A59),F$4:F58),0))+C59))))</f>
        <v/>
      </c>
      <c r="I59" s="7"/>
    </row>
    <row r="60" spans="1:9" x14ac:dyDescent="0.4">
      <c r="A60" s="4"/>
      <c r="B60" s="5"/>
      <c r="C60" s="6"/>
      <c r="D60" s="7"/>
      <c r="E60" s="6"/>
      <c r="F60" s="6" t="str">
        <f>IF(A60="","",IFERROR(LOOKUP(2,1/(A$4:A59=A60),F$4:F59),0)+IF(ISNUMBER(C60),C60,0)-IF(ISNUMBER(E60),E60,0))</f>
        <v/>
      </c>
      <c r="G60" s="11" t="str">
        <f>IF(A60="","",IF(IF(ISNUMBER(C60),C60,0)=0,IFERROR(LOOKUP(2,1/(A$4:A59=A60),G$4:G59),IF(ISNUMBER(D60),D60,"")),IF(IFERROR(LOOKUP(2,1/(A$4:A59=A60),F$4:F59),0)&lt;=0,D60,(MAX(0,IFERROR(LOOKUP(2,1/(A$4:A59=A60),F$4:F59),0))*IFERROR(LOOKUP(2,1/(A$4:A59=A60),G$4:G59),0)+C60*D60)/(MAX(0,IFERROR(LOOKUP(2,1/(A$4:A59=A60),F$4:F59),0))+C60))))</f>
        <v/>
      </c>
      <c r="I60" s="7"/>
    </row>
    <row r="61" spans="1:9" x14ac:dyDescent="0.4">
      <c r="A61" s="8" t="s">
        <v>32</v>
      </c>
      <c r="B61" s="8"/>
      <c r="C61" s="9">
        <f>SUM(C4:C60)</f>
        <v>12717</v>
      </c>
      <c r="D61" s="10">
        <f>IF(SUM(C4:C60)=0,0,SUMPRODUCT(C4:C60,D4:D60)/SUM(C4:C60))</f>
        <v>45.669065031060782</v>
      </c>
      <c r="E61" s="9">
        <f>SUM(E4:E60)</f>
        <v>8578</v>
      </c>
      <c r="F61" s="9">
        <f>SUM(F4:F60)</f>
        <v>56222</v>
      </c>
      <c r="G61" s="9">
        <f t="shared" ref="G61:I61" si="0">SUM(G4:G60)</f>
        <v>1098.5498413399828</v>
      </c>
      <c r="I61" s="7"/>
    </row>
  </sheetData>
  <sortState ref="A4:G30">
    <sortCondition ref="A4:A30"/>
    <sortCondition ref="B4:B30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모델_마스터!$B$12:$B$13</xm:f>
          </x14:formula1>
          <xm:sqref>A4:A60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>
      <pane ySplit="3" topLeftCell="A28" activePane="bottomLeft" state="frozen"/>
      <selection activeCell="G8" sqref="G8"/>
      <selection pane="bottomLeft" activeCell="B53" sqref="B53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36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19</v>
      </c>
      <c r="B4" s="5">
        <v>45992</v>
      </c>
      <c r="C4" s="6">
        <v>936</v>
      </c>
      <c r="D4" s="7">
        <v>16.899999999999999</v>
      </c>
      <c r="E4" s="6">
        <v>762</v>
      </c>
      <c r="F4" s="6">
        <f>IF(A4="","",IF(ISNUMBER(C4),C4,0)-IF(ISNUMBER(E4),E4,0))</f>
        <v>174</v>
      </c>
      <c r="G4" s="11">
        <f>IF(A4="","",IF(IF(ISNUMBER(C4),C4,0)&lt;=0,IF(ISNUMBER(D4),D4,""),D4))</f>
        <v>16.899999999999999</v>
      </c>
      <c r="I4" s="7"/>
    </row>
    <row r="5" spans="1:9" x14ac:dyDescent="0.4">
      <c r="A5" s="4" t="s">
        <v>19</v>
      </c>
      <c r="B5" s="5">
        <v>46023</v>
      </c>
      <c r="C5" s="6">
        <v>900</v>
      </c>
      <c r="D5" s="7">
        <v>38.5</v>
      </c>
      <c r="E5" s="6"/>
      <c r="F5" s="6">
        <f>IF(A5="","",IFERROR(LOOKUP(2,1/(A$4:A4=A5),F$4:F4),0)+IF(ISNUMBER(C5),C5,0)-IF(ISNUMBER(E5),E5,0))</f>
        <v>1074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35.000558659217873</v>
      </c>
      <c r="I5" s="7"/>
    </row>
    <row r="6" spans="1:9" x14ac:dyDescent="0.4">
      <c r="A6" s="4" t="s">
        <v>19</v>
      </c>
      <c r="B6" s="5">
        <v>46023</v>
      </c>
      <c r="C6" s="6">
        <v>2000</v>
      </c>
      <c r="D6" s="7">
        <v>33</v>
      </c>
      <c r="E6" s="6"/>
      <c r="F6" s="6">
        <f>IF(A6="","",IFERROR(LOOKUP(2,1/(A$4:A5=A6),F$4:F5),0)+IF(ISNUMBER(C6),C6,0)-IF(ISNUMBER(E6),E6,0))</f>
        <v>3074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33.698959011060509</v>
      </c>
      <c r="I6" s="7"/>
    </row>
    <row r="7" spans="1:9" x14ac:dyDescent="0.4">
      <c r="A7" s="4" t="s">
        <v>19</v>
      </c>
      <c r="B7" s="5">
        <v>46023</v>
      </c>
      <c r="C7" s="6">
        <v>1000</v>
      </c>
      <c r="D7" s="7">
        <v>34</v>
      </c>
      <c r="E7" s="6">
        <v>800</v>
      </c>
      <c r="F7" s="6">
        <f>IF(A7="","",IFERROR(LOOKUP(2,1/(A$4:A6=A7),F$4:F6),0)+IF(ISNUMBER(C7),C7,0)-IF(ISNUMBER(E7),E7,0))</f>
        <v>3274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33.772852233676979</v>
      </c>
      <c r="I7" s="7"/>
    </row>
    <row r="8" spans="1:9" x14ac:dyDescent="0.4">
      <c r="A8" s="4" t="s">
        <v>19</v>
      </c>
      <c r="B8" s="5">
        <v>46023</v>
      </c>
      <c r="C8" s="6"/>
      <c r="D8" s="7">
        <v>16.899999999999999</v>
      </c>
      <c r="E8" s="6">
        <v>174</v>
      </c>
      <c r="F8" s="6">
        <f>IF(A8="","",IFERROR(LOOKUP(2,1/(A$4:A7=A8),F$4:F7),0)+IF(ISNUMBER(C8),C8,0)-IF(ISNUMBER(E8),E8,0))</f>
        <v>3100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33.772852233676979</v>
      </c>
      <c r="I8" s="7"/>
    </row>
    <row r="9" spans="1:9" x14ac:dyDescent="0.4">
      <c r="A9" s="4" t="s">
        <v>19</v>
      </c>
      <c r="B9" s="5">
        <v>46054</v>
      </c>
      <c r="C9" s="6"/>
      <c r="D9" s="7">
        <v>33.770000000000003</v>
      </c>
      <c r="E9" s="6">
        <v>410</v>
      </c>
      <c r="F9" s="6">
        <f>IF(A9="","",IFERROR(LOOKUP(2,1/(A$4:A8=A9),F$4:F8),0)+IF(ISNUMBER(C9),C9,0)-IF(ISNUMBER(E9),E9,0))</f>
        <v>2690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33.772852233676979</v>
      </c>
      <c r="I9" s="7"/>
    </row>
    <row r="10" spans="1:9" x14ac:dyDescent="0.4">
      <c r="A10" s="4" t="s">
        <v>19</v>
      </c>
      <c r="B10" s="5">
        <v>46054</v>
      </c>
      <c r="C10" s="6">
        <v>2000</v>
      </c>
      <c r="D10" s="7">
        <v>38</v>
      </c>
      <c r="E10" s="6"/>
      <c r="F10" s="6">
        <f>IF(A10="","",IFERROR(LOOKUP(2,1/(A$4:A9=A10),F$4:F9),0)+IF(ISNUMBER(C10),C10,0)-IF(ISNUMBER(E10),E10,0))</f>
        <v>4690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35.575473882428803</v>
      </c>
      <c r="I10" s="7"/>
    </row>
    <row r="11" spans="1:9" x14ac:dyDescent="0.4">
      <c r="A11" s="4" t="s">
        <v>19</v>
      </c>
      <c r="B11" s="5">
        <v>46054</v>
      </c>
      <c r="C11" s="6"/>
      <c r="D11" s="7">
        <v>38</v>
      </c>
      <c r="E11" s="6">
        <v>511</v>
      </c>
      <c r="F11" s="6">
        <f>IF(A11="","",IFERROR(LOOKUP(2,1/(A$4:A10=A11),F$4:F10),0)+IF(ISNUMBER(C11),C11,0)-IF(ISNUMBER(E11),E11,0))</f>
        <v>4179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35.575473882428803</v>
      </c>
      <c r="I11" s="7"/>
    </row>
    <row r="12" spans="1:9" x14ac:dyDescent="0.4">
      <c r="A12" s="4" t="s">
        <v>19</v>
      </c>
      <c r="B12" s="5">
        <v>46082</v>
      </c>
      <c r="C12" s="6">
        <v>3000</v>
      </c>
      <c r="D12" s="7">
        <v>45.5</v>
      </c>
      <c r="E12" s="6"/>
      <c r="F12" s="6">
        <f>IF(A12="","",IFERROR(LOOKUP(2,1/(A$4:A11=A12),F$4:F11),0)+IF(ISNUMBER(C12),C12,0)-IF(ISNUMBER(E12),E12,0))</f>
        <v>7179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39.722789435112126</v>
      </c>
      <c r="I12" s="7"/>
    </row>
    <row r="13" spans="1:9" x14ac:dyDescent="0.4">
      <c r="A13" s="4" t="s">
        <v>19</v>
      </c>
      <c r="B13" s="5">
        <v>46082</v>
      </c>
      <c r="C13" s="6">
        <v>-3000</v>
      </c>
      <c r="D13" s="7">
        <v>45.5</v>
      </c>
      <c r="E13" s="6"/>
      <c r="F13" s="6">
        <f>IF(A13="","",IFERROR(LOOKUP(2,1/(A$4:A12=A13),F$4:F12),0)+IF(ISNUMBER(C13),C13,0)-IF(ISNUMBER(E13),E13,0))</f>
        <v>4179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35.575473882428803</v>
      </c>
      <c r="I13" s="7"/>
    </row>
    <row r="14" spans="1:9" x14ac:dyDescent="0.4">
      <c r="A14" s="4" t="s">
        <v>19</v>
      </c>
      <c r="B14" s="5">
        <v>46082</v>
      </c>
      <c r="C14" s="6">
        <v>-1200</v>
      </c>
      <c r="D14" s="7">
        <v>33</v>
      </c>
      <c r="E14" s="6"/>
      <c r="F14" s="6">
        <f>IF(A14="","",IFERROR(LOOKUP(2,1/(A$4:A13=A14),F$4:F13),0)+IF(ISNUMBER(C14),C14,0)-IF(ISNUMBER(E14),E14,0))</f>
        <v>2979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36.612925597405159</v>
      </c>
      <c r="I14" s="7"/>
    </row>
    <row r="15" spans="1:9" x14ac:dyDescent="0.4">
      <c r="A15" s="4" t="s">
        <v>19</v>
      </c>
      <c r="B15" s="5">
        <v>46082</v>
      </c>
      <c r="C15" s="6"/>
      <c r="D15" s="7">
        <v>35.58</v>
      </c>
      <c r="E15" s="6">
        <v>810</v>
      </c>
      <c r="F15" s="6">
        <f>IF(A15="","",IFERROR(LOOKUP(2,1/(A$4:A14=A15),F$4:F14),0)+IF(ISNUMBER(C15),C15,0)-IF(ISNUMBER(E15),E15,0))</f>
        <v>2169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36.612925597405159</v>
      </c>
      <c r="I15" s="7"/>
    </row>
    <row r="16" spans="1:9" x14ac:dyDescent="0.4">
      <c r="A16" s="4" t="s">
        <v>19</v>
      </c>
      <c r="B16" s="5">
        <v>46113</v>
      </c>
      <c r="C16" s="6">
        <v>2000</v>
      </c>
      <c r="D16" s="7">
        <v>57</v>
      </c>
      <c r="E16" s="6"/>
      <c r="F16" s="6">
        <f>IF(A16="","",IFERROR(LOOKUP(2,1/(A$4:A15=A16),F$4:F15),0)+IF(ISNUMBER(C16),C16,0)-IF(ISNUMBER(E16),E16,0))</f>
        <v>4169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46.39324433215922</v>
      </c>
      <c r="I16" s="7"/>
    </row>
    <row r="17" spans="1:9" x14ac:dyDescent="0.4">
      <c r="A17" s="4" t="s">
        <v>19</v>
      </c>
      <c r="B17" s="5">
        <v>46113</v>
      </c>
      <c r="C17" s="6"/>
      <c r="D17" s="7">
        <v>36.61</v>
      </c>
      <c r="E17" s="6">
        <v>495</v>
      </c>
      <c r="F17" s="6">
        <f>IF(A17="","",IFERROR(LOOKUP(2,1/(A$4:A16=A17),F$4:F16),0)+IF(ISNUMBER(C17),C17,0)-IF(ISNUMBER(E17),E17,0))</f>
        <v>3674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46.39324433215922</v>
      </c>
      <c r="I17" s="7"/>
    </row>
    <row r="18" spans="1:9" x14ac:dyDescent="0.4">
      <c r="A18" s="4" t="s">
        <v>19</v>
      </c>
      <c r="B18" s="5">
        <v>46143</v>
      </c>
      <c r="C18" s="6"/>
      <c r="D18" s="7">
        <v>46.39</v>
      </c>
      <c r="E18" s="6">
        <v>540</v>
      </c>
      <c r="F18" s="6">
        <f>IF(A18="","",IFERROR(LOOKUP(2,1/(A$4:A17=A18),F$4:F17),0)+IF(ISNUMBER(C18),C18,0)-IF(ISNUMBER(E18),E18,0))</f>
        <v>3134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46.39324433215922</v>
      </c>
      <c r="I18" s="7"/>
    </row>
    <row r="19" spans="1:9" x14ac:dyDescent="0.4">
      <c r="A19" s="4" t="s">
        <v>19</v>
      </c>
      <c r="B19" s="5">
        <v>46174</v>
      </c>
      <c r="C19" s="6"/>
      <c r="D19" s="7">
        <v>46.39</v>
      </c>
      <c r="E19" s="6">
        <v>130</v>
      </c>
      <c r="F19" s="6">
        <f>IF(A19="","",IFERROR(LOOKUP(2,1/(A$4:A18=A19),F$4:F18),0)+IF(ISNUMBER(C19),C19,0)-IF(ISNUMBER(E19),E19,0))</f>
        <v>3004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46.39324433215922</v>
      </c>
      <c r="I19" s="7"/>
    </row>
    <row r="20" spans="1:9" x14ac:dyDescent="0.4">
      <c r="A20" s="4" t="s">
        <v>19</v>
      </c>
      <c r="B20" s="5">
        <v>46204</v>
      </c>
      <c r="C20" s="6"/>
      <c r="D20" s="7">
        <v>46.39</v>
      </c>
      <c r="E20" s="6">
        <v>90</v>
      </c>
      <c r="F20" s="6">
        <f>IF(A20="","",IFERROR(LOOKUP(2,1/(A$4:A19=A20),F$4:F19),0)+IF(ISNUMBER(C20),C20,0)-IF(ISNUMBER(E20),E20,0))</f>
        <v>2914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46.39324433215922</v>
      </c>
      <c r="I20" s="7"/>
    </row>
    <row r="21" spans="1:9" x14ac:dyDescent="0.4">
      <c r="A21" s="4" t="s">
        <v>19</v>
      </c>
      <c r="B21" s="5">
        <v>46235</v>
      </c>
      <c r="C21" s="6"/>
      <c r="D21" s="7">
        <v>46.39</v>
      </c>
      <c r="E21" s="6">
        <v>110</v>
      </c>
      <c r="F21" s="6">
        <f>IF(A21="","",IFERROR(LOOKUP(2,1/(A$4:A20=A21),F$4:F20),0)+IF(ISNUMBER(C21),C21,0)-IF(ISNUMBER(E21),E21,0))</f>
        <v>2804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46.39324433215922</v>
      </c>
      <c r="I21" s="7"/>
    </row>
    <row r="22" spans="1:9" x14ac:dyDescent="0.4">
      <c r="A22" s="4" t="s">
        <v>19</v>
      </c>
      <c r="B22" s="5">
        <v>46266</v>
      </c>
      <c r="C22" s="6"/>
      <c r="D22" s="7">
        <v>46.39</v>
      </c>
      <c r="E22" s="6"/>
      <c r="F22" s="6">
        <f>IF(A22="","",IFERROR(LOOKUP(2,1/(A$4:A21=A22),F$4:F21),0)+IF(ISNUMBER(C22),C22,0)-IF(ISNUMBER(E22),E22,0))</f>
        <v>2804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46.39324433215922</v>
      </c>
      <c r="I22" s="7"/>
    </row>
    <row r="23" spans="1:9" x14ac:dyDescent="0.4">
      <c r="A23" s="4" t="s">
        <v>20</v>
      </c>
      <c r="B23" s="5">
        <v>45992</v>
      </c>
      <c r="C23" s="6">
        <v>569</v>
      </c>
      <c r="D23" s="7">
        <v>16.899999999999999</v>
      </c>
      <c r="E23" s="6">
        <v>31</v>
      </c>
      <c r="F23" s="6">
        <f>IF(A23="","",IFERROR(LOOKUP(2,1/(A$4:A22=A23),F$4:F22),0)+IF(ISNUMBER(C23),C23,0)-IF(ISNUMBER(E23),E23,0))</f>
        <v>538</v>
      </c>
      <c r="G23" s="11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>16.899999999999999</v>
      </c>
      <c r="I23" s="7"/>
    </row>
    <row r="24" spans="1:9" x14ac:dyDescent="0.4">
      <c r="A24" s="4" t="s">
        <v>20</v>
      </c>
      <c r="B24" s="5">
        <v>46023</v>
      </c>
      <c r="C24" s="6"/>
      <c r="D24" s="7">
        <v>16.899999999999999</v>
      </c>
      <c r="E24" s="6">
        <v>42</v>
      </c>
      <c r="F24" s="6">
        <f>IF(A24="","",IFERROR(LOOKUP(2,1/(A$4:A23=A24),F$4:F23),0)+IF(ISNUMBER(C24),C24,0)-IF(ISNUMBER(E24),E24,0))</f>
        <v>496</v>
      </c>
      <c r="G24" s="11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>16.899999999999999</v>
      </c>
      <c r="I24" s="7"/>
    </row>
    <row r="25" spans="1:9" x14ac:dyDescent="0.4">
      <c r="A25" s="4" t="s">
        <v>20</v>
      </c>
      <c r="B25" s="5">
        <v>46054</v>
      </c>
      <c r="C25" s="6"/>
      <c r="D25" s="7">
        <v>16.899999999999999</v>
      </c>
      <c r="E25" s="6">
        <v>45</v>
      </c>
      <c r="F25" s="6">
        <f>IF(A25="","",IFERROR(LOOKUP(2,1/(A$4:A24=A25),F$4:F24),0)+IF(ISNUMBER(C25),C25,0)-IF(ISNUMBER(E25),E25,0))</f>
        <v>451</v>
      </c>
      <c r="G25" s="11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>16.899999999999999</v>
      </c>
      <c r="I25" s="7"/>
    </row>
    <row r="26" spans="1:9" x14ac:dyDescent="0.4">
      <c r="A26" s="4" t="s">
        <v>20</v>
      </c>
      <c r="B26" s="5">
        <v>46082</v>
      </c>
      <c r="C26" s="6">
        <v>550</v>
      </c>
      <c r="D26" s="7">
        <v>40</v>
      </c>
      <c r="E26" s="6"/>
      <c r="F26" s="6">
        <f>IF(A26="","",IFERROR(LOOKUP(2,1/(A$4:A25=A26),F$4:F25),0)+IF(ISNUMBER(C26),C26,0)-IF(ISNUMBER(E26),E26,0))</f>
        <v>1001</v>
      </c>
      <c r="G26" s="11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>29.592307692307696</v>
      </c>
      <c r="I26" s="7"/>
    </row>
    <row r="27" spans="1:9" x14ac:dyDescent="0.4">
      <c r="A27" s="4" t="s">
        <v>20</v>
      </c>
      <c r="B27" s="5">
        <v>46082</v>
      </c>
      <c r="C27" s="6"/>
      <c r="D27" s="7">
        <v>16.899999999999999</v>
      </c>
      <c r="E27" s="6">
        <v>212</v>
      </c>
      <c r="F27" s="6">
        <f>IF(A27="","",IFERROR(LOOKUP(2,1/(A$4:A26=A27),F$4:F26),0)+IF(ISNUMBER(C27),C27,0)-IF(ISNUMBER(E27),E27,0))</f>
        <v>789</v>
      </c>
      <c r="G27" s="11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>29.592307692307696</v>
      </c>
      <c r="I27" s="7"/>
    </row>
    <row r="28" spans="1:9" x14ac:dyDescent="0.4">
      <c r="A28" s="4" t="s">
        <v>20</v>
      </c>
      <c r="B28" s="5">
        <v>46113</v>
      </c>
      <c r="C28" s="6">
        <v>9</v>
      </c>
      <c r="D28" s="7">
        <v>23</v>
      </c>
      <c r="E28" s="6"/>
      <c r="F28" s="6">
        <f>IF(A28="","",IFERROR(LOOKUP(2,1/(A$4:A27=A28),F$4:F27),0)+IF(ISNUMBER(C28),C28,0)-IF(ISNUMBER(E28),E28,0))</f>
        <v>798</v>
      </c>
      <c r="G28" s="11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>29.517958357432043</v>
      </c>
      <c r="I28" s="7"/>
    </row>
    <row r="29" spans="1:9" x14ac:dyDescent="0.4">
      <c r="A29" s="4" t="s">
        <v>20</v>
      </c>
      <c r="B29" s="5">
        <v>46113</v>
      </c>
      <c r="C29" s="6"/>
      <c r="D29" s="7">
        <v>29.59</v>
      </c>
      <c r="E29" s="6">
        <v>474</v>
      </c>
      <c r="F29" s="6">
        <f>IF(A29="","",IFERROR(LOOKUP(2,1/(A$4:A28=A29),F$4:F28),0)+IF(ISNUMBER(C29),C29,0)-IF(ISNUMBER(E29),E29,0))</f>
        <v>324</v>
      </c>
      <c r="G29" s="11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>29.517958357432043</v>
      </c>
      <c r="I29" s="7"/>
    </row>
    <row r="30" spans="1:9" x14ac:dyDescent="0.4">
      <c r="A30" s="4" t="s">
        <v>20</v>
      </c>
      <c r="B30" s="5">
        <v>46143</v>
      </c>
      <c r="C30" s="6"/>
      <c r="D30" s="7">
        <v>29.52</v>
      </c>
      <c r="E30" s="6">
        <v>38</v>
      </c>
      <c r="F30" s="6">
        <f>IF(A30="","",IFERROR(LOOKUP(2,1/(A$4:A29=A30),F$4:F29),0)+IF(ISNUMBER(C30),C30,0)-IF(ISNUMBER(E30),E30,0))</f>
        <v>286</v>
      </c>
      <c r="G30" s="11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>29.517958357432043</v>
      </c>
      <c r="I30" s="7"/>
    </row>
    <row r="31" spans="1:9" x14ac:dyDescent="0.4">
      <c r="A31" s="4" t="s">
        <v>20</v>
      </c>
      <c r="B31" s="5">
        <v>46174</v>
      </c>
      <c r="C31" s="6">
        <v>500</v>
      </c>
      <c r="D31" s="7">
        <v>40.700000000000003</v>
      </c>
      <c r="E31" s="6"/>
      <c r="F31" s="6">
        <f>IF(A31="","",IFERROR(LOOKUP(2,1/(A$4:A30=A31),F$4:F30),0)+IF(ISNUMBER(C31),C31,0)-IF(ISNUMBER(E31),E31,0))</f>
        <v>786</v>
      </c>
      <c r="G31" s="11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>36.631216399778069</v>
      </c>
      <c r="I31" s="7"/>
    </row>
    <row r="32" spans="1:9" x14ac:dyDescent="0.4">
      <c r="A32" s="4" t="s">
        <v>20</v>
      </c>
      <c r="B32" s="5">
        <v>46174</v>
      </c>
      <c r="C32" s="6"/>
      <c r="D32" s="7">
        <v>29.52</v>
      </c>
      <c r="E32" s="6">
        <v>37</v>
      </c>
      <c r="F32" s="6">
        <f>IF(A32="","",IFERROR(LOOKUP(2,1/(A$4:A31=A32),F$4:F31),0)+IF(ISNUMBER(C32),C32,0)-IF(ISNUMBER(E32),E32,0))</f>
        <v>749</v>
      </c>
      <c r="G32" s="11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>36.631216399778069</v>
      </c>
      <c r="I32" s="7"/>
    </row>
    <row r="33" spans="1:9" x14ac:dyDescent="0.4">
      <c r="A33" s="4" t="s">
        <v>20</v>
      </c>
      <c r="B33" s="5">
        <v>46204</v>
      </c>
      <c r="C33" s="6">
        <v>500</v>
      </c>
      <c r="D33" s="7">
        <v>42.2</v>
      </c>
      <c r="E33" s="6"/>
      <c r="F33" s="6">
        <f>IF(A33="","",IFERROR(LOOKUP(2,1/(A$4:A32=A33),F$4:F32),0)+IF(ISNUMBER(C33),C33,0)-IF(ISNUMBER(E33),E33,0))</f>
        <v>1249</v>
      </c>
      <c r="G33" s="11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>38.860513277368916</v>
      </c>
      <c r="I33" s="7"/>
    </row>
    <row r="34" spans="1:9" x14ac:dyDescent="0.4">
      <c r="A34" s="4" t="s">
        <v>20</v>
      </c>
      <c r="B34" s="5">
        <v>46235</v>
      </c>
      <c r="C34" s="6"/>
      <c r="D34" s="7">
        <v>36.630000000000003</v>
      </c>
      <c r="E34" s="6">
        <v>200</v>
      </c>
      <c r="F34" s="6">
        <f>IF(A34="","",IFERROR(LOOKUP(2,1/(A$4:A33=A34),F$4:F33),0)+IF(ISNUMBER(C34),C34,0)-IF(ISNUMBER(E34),E34,0))</f>
        <v>1049</v>
      </c>
      <c r="G34" s="11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>38.860513277368916</v>
      </c>
      <c r="I34" s="7"/>
    </row>
    <row r="35" spans="1:9" x14ac:dyDescent="0.4">
      <c r="A35" s="4" t="s">
        <v>20</v>
      </c>
      <c r="B35" s="5">
        <v>46235</v>
      </c>
      <c r="C35" s="6"/>
      <c r="D35" s="7">
        <v>38.86</v>
      </c>
      <c r="E35" s="6">
        <v>140</v>
      </c>
      <c r="F35" s="6">
        <f>IF(A35="","",IFERROR(LOOKUP(2,1/(A$4:A34=A35),F$4:F34),0)+IF(ISNUMBER(C35),C35,0)-IF(ISNUMBER(E35),E35,0))</f>
        <v>909</v>
      </c>
      <c r="G35" s="11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>38.860513277368916</v>
      </c>
      <c r="I35" s="7"/>
    </row>
    <row r="36" spans="1:9" x14ac:dyDescent="0.4">
      <c r="A36" s="4" t="s">
        <v>20</v>
      </c>
      <c r="B36" s="5">
        <v>46266</v>
      </c>
      <c r="C36" s="6"/>
      <c r="D36" s="7">
        <v>38.86</v>
      </c>
      <c r="E36" s="6"/>
      <c r="F36" s="6">
        <f>IF(A36="","",IFERROR(LOOKUP(2,1/(A$4:A35=A36),F$4:F35),0)+IF(ISNUMBER(C36),C36,0)-IF(ISNUMBER(E36),E36,0))</f>
        <v>909</v>
      </c>
      <c r="G36" s="11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>38.860513277368916</v>
      </c>
      <c r="I36" s="7"/>
    </row>
    <row r="37" spans="1:9" x14ac:dyDescent="0.4">
      <c r="A37" s="4" t="s">
        <v>24</v>
      </c>
      <c r="B37" s="5">
        <v>45992</v>
      </c>
      <c r="C37" s="6">
        <v>108</v>
      </c>
      <c r="D37" s="7">
        <v>16.899999999999999</v>
      </c>
      <c r="E37" s="6">
        <v>2</v>
      </c>
      <c r="F37" s="6">
        <f>IF(A37="","",IFERROR(LOOKUP(2,1/(A$4:A36=A37),F$4:F36),0)+IF(ISNUMBER(C37),C37,0)-IF(ISNUMBER(E37),E37,0))</f>
        <v>106</v>
      </c>
      <c r="G37" s="11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>16.899999999999999</v>
      </c>
      <c r="I37" s="7"/>
    </row>
    <row r="38" spans="1:9" x14ac:dyDescent="0.4">
      <c r="A38" s="4" t="s">
        <v>24</v>
      </c>
      <c r="B38" s="5">
        <v>46023</v>
      </c>
      <c r="C38" s="6"/>
      <c r="D38" s="7">
        <v>16.899999999999999</v>
      </c>
      <c r="E38" s="6">
        <v>16</v>
      </c>
      <c r="F38" s="6">
        <f>IF(A38="","",IFERROR(LOOKUP(2,1/(A$4:A37=A38),F$4:F37),0)+IF(ISNUMBER(C38),C38,0)-IF(ISNUMBER(E38),E38,0))</f>
        <v>90</v>
      </c>
      <c r="G38" s="11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>16.899999999999999</v>
      </c>
      <c r="I38" s="7"/>
    </row>
    <row r="39" spans="1:9" x14ac:dyDescent="0.4">
      <c r="A39" s="4" t="s">
        <v>24</v>
      </c>
      <c r="B39" s="5">
        <v>46054</v>
      </c>
      <c r="C39" s="6"/>
      <c r="D39" s="7">
        <v>16.899999999999999</v>
      </c>
      <c r="E39" s="6"/>
      <c r="F39" s="6">
        <f>IF(A39="","",IFERROR(LOOKUP(2,1/(A$4:A38=A39),F$4:F38),0)+IF(ISNUMBER(C39),C39,0)-IF(ISNUMBER(E39),E39,0))</f>
        <v>90</v>
      </c>
      <c r="G39" s="11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>16.899999999999999</v>
      </c>
      <c r="I39" s="7"/>
    </row>
    <row r="40" spans="1:9" x14ac:dyDescent="0.4">
      <c r="A40" s="4" t="s">
        <v>24</v>
      </c>
      <c r="B40" s="5">
        <v>46082</v>
      </c>
      <c r="C40" s="6"/>
      <c r="D40" s="7">
        <v>16.899999999999999</v>
      </c>
      <c r="E40" s="6"/>
      <c r="F40" s="6">
        <f>IF(A40="","",IFERROR(LOOKUP(2,1/(A$4:A39=A40),F$4:F39),0)+IF(ISNUMBER(C40),C40,0)-IF(ISNUMBER(E40),E40,0))</f>
        <v>90</v>
      </c>
      <c r="G40" s="11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>16.899999999999999</v>
      </c>
      <c r="I40" s="7"/>
    </row>
    <row r="41" spans="1:9" x14ac:dyDescent="0.4">
      <c r="A41" s="4" t="s">
        <v>24</v>
      </c>
      <c r="B41" s="5">
        <v>46113</v>
      </c>
      <c r="C41" s="6"/>
      <c r="D41" s="7">
        <v>16.899999999999999</v>
      </c>
      <c r="E41" s="6"/>
      <c r="F41" s="6">
        <f>IF(A41="","",IFERROR(LOOKUP(2,1/(A$4:A40=A41),F$4:F40),0)+IF(ISNUMBER(C41),C41,0)-IF(ISNUMBER(E41),E41,0))</f>
        <v>90</v>
      </c>
      <c r="G41" s="11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>16.899999999999999</v>
      </c>
      <c r="I41" s="7"/>
    </row>
    <row r="42" spans="1:9" x14ac:dyDescent="0.4">
      <c r="A42" s="4" t="s">
        <v>24</v>
      </c>
      <c r="B42" s="5">
        <v>46143</v>
      </c>
      <c r="C42" s="6"/>
      <c r="D42" s="7">
        <v>16.899999999999999</v>
      </c>
      <c r="E42" s="6">
        <v>18</v>
      </c>
      <c r="F42" s="6">
        <f>IF(A42="","",IFERROR(LOOKUP(2,1/(A$4:A41=A42),F$4:F41),0)+IF(ISNUMBER(C42),C42,0)-IF(ISNUMBER(E42),E42,0))</f>
        <v>72</v>
      </c>
      <c r="G42" s="11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>16.899999999999999</v>
      </c>
      <c r="I42" s="7"/>
    </row>
    <row r="43" spans="1:9" x14ac:dyDescent="0.4">
      <c r="A43" s="4" t="s">
        <v>24</v>
      </c>
      <c r="B43" s="5">
        <v>46174</v>
      </c>
      <c r="C43" s="6"/>
      <c r="D43" s="7">
        <v>16.899999999999999</v>
      </c>
      <c r="E43" s="6"/>
      <c r="F43" s="6">
        <f>IF(A43="","",IFERROR(LOOKUP(2,1/(A$4:A42=A43),F$4:F42),0)+IF(ISNUMBER(C43),C43,0)-IF(ISNUMBER(E43),E43,0))</f>
        <v>72</v>
      </c>
      <c r="G43" s="11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>16.899999999999999</v>
      </c>
      <c r="I43" s="7"/>
    </row>
    <row r="44" spans="1:9" x14ac:dyDescent="0.4">
      <c r="A44" s="4" t="s">
        <v>24</v>
      </c>
      <c r="B44" s="5">
        <v>46204</v>
      </c>
      <c r="C44" s="6"/>
      <c r="D44" s="7">
        <v>16.899999999999999</v>
      </c>
      <c r="E44" s="6"/>
      <c r="F44" s="6">
        <f>IF(A44="","",IFERROR(LOOKUP(2,1/(A$4:A43=A44),F$4:F43),0)+IF(ISNUMBER(C44),C44,0)-IF(ISNUMBER(E44),E44,0))</f>
        <v>72</v>
      </c>
      <c r="G44" s="11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>16.899999999999999</v>
      </c>
      <c r="I44" s="7"/>
    </row>
    <row r="45" spans="1:9" x14ac:dyDescent="0.4">
      <c r="A45" s="4" t="s">
        <v>24</v>
      </c>
      <c r="B45" s="5">
        <v>46235</v>
      </c>
      <c r="C45" s="6"/>
      <c r="D45" s="7">
        <v>16.899999999999999</v>
      </c>
      <c r="E45" s="6"/>
      <c r="F45" s="6">
        <f>IF(A45="","",IFERROR(LOOKUP(2,1/(A$4:A44=A45),F$4:F44),0)+IF(ISNUMBER(C45),C45,0)-IF(ISNUMBER(E45),E45,0))</f>
        <v>72</v>
      </c>
      <c r="G45" s="11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>16.899999999999999</v>
      </c>
      <c r="I45" s="7"/>
    </row>
    <row r="46" spans="1:9" x14ac:dyDescent="0.4">
      <c r="A46" s="4" t="s">
        <v>24</v>
      </c>
      <c r="B46" s="5">
        <v>46266</v>
      </c>
      <c r="C46" s="6"/>
      <c r="D46" s="7">
        <v>16.899999999999999</v>
      </c>
      <c r="E46" s="6"/>
      <c r="F46" s="6">
        <f>IF(A46="","",IFERROR(LOOKUP(2,1/(A$4:A45=A46),F$4:F45),0)+IF(ISNUMBER(C46),C46,0)-IF(ISNUMBER(E46),E46,0))</f>
        <v>72</v>
      </c>
      <c r="G46" s="11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>16.899999999999999</v>
      </c>
      <c r="I46" s="7"/>
    </row>
    <row r="47" spans="1:9" x14ac:dyDescent="0.4">
      <c r="A47" s="4" t="s">
        <v>21</v>
      </c>
      <c r="B47" s="5">
        <v>45992</v>
      </c>
      <c r="C47" s="6">
        <v>165</v>
      </c>
      <c r="D47" s="7">
        <v>24.5</v>
      </c>
      <c r="E47" s="6"/>
      <c r="F47" s="6">
        <f>IF(A47="","",IFERROR(LOOKUP(2,1/(A$4:A46=A47),F$4:F46),0)+IF(ISNUMBER(C47),C47,0)-IF(ISNUMBER(E47),E47,0))</f>
        <v>165</v>
      </c>
      <c r="G47" s="11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>24.5</v>
      </c>
      <c r="I47" s="7"/>
    </row>
    <row r="48" spans="1:9" x14ac:dyDescent="0.4">
      <c r="A48" s="4" t="s">
        <v>21</v>
      </c>
      <c r="B48" s="5">
        <v>46023</v>
      </c>
      <c r="C48" s="6"/>
      <c r="D48" s="7">
        <v>24.5</v>
      </c>
      <c r="E48" s="6">
        <v>1</v>
      </c>
      <c r="F48" s="6">
        <f>IF(A48="","",IFERROR(LOOKUP(2,1/(A$4:A47=A48),F$4:F47),0)+IF(ISNUMBER(C48),C48,0)-IF(ISNUMBER(E48),E48,0))</f>
        <v>164</v>
      </c>
      <c r="G48" s="11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>24.5</v>
      </c>
      <c r="I48" s="7"/>
    </row>
    <row r="49" spans="1:9" x14ac:dyDescent="0.4">
      <c r="A49" s="4" t="s">
        <v>21</v>
      </c>
      <c r="B49" s="5">
        <v>46054</v>
      </c>
      <c r="C49" s="6"/>
      <c r="D49" s="7">
        <v>24.5</v>
      </c>
      <c r="E49" s="6">
        <v>125</v>
      </c>
      <c r="F49" s="6">
        <f>IF(A49="","",IFERROR(LOOKUP(2,1/(A$4:A48=A49),F$4:F48),0)+IF(ISNUMBER(C49),C49,0)-IF(ISNUMBER(E49),E49,0))</f>
        <v>39</v>
      </c>
      <c r="G49" s="11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>24.5</v>
      </c>
      <c r="I49" s="7"/>
    </row>
    <row r="50" spans="1:9" x14ac:dyDescent="0.4">
      <c r="A50" s="4" t="s">
        <v>21</v>
      </c>
      <c r="B50" s="5">
        <v>46082</v>
      </c>
      <c r="C50" s="6">
        <v>250</v>
      </c>
      <c r="D50" s="7">
        <v>70</v>
      </c>
      <c r="E50" s="6"/>
      <c r="F50" s="6">
        <f>IF(A50="","",IFERROR(LOOKUP(2,1/(A$4:A49=A50),F$4:F49),0)+IF(ISNUMBER(C50),C50,0)-IF(ISNUMBER(E50),E50,0))</f>
        <v>289</v>
      </c>
      <c r="G50" s="11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>63.859861591695498</v>
      </c>
      <c r="I50" s="7"/>
    </row>
    <row r="51" spans="1:9" x14ac:dyDescent="0.4">
      <c r="A51" s="4" t="s">
        <v>21</v>
      </c>
      <c r="B51" s="5">
        <v>46113</v>
      </c>
      <c r="C51" s="6"/>
      <c r="D51" s="7">
        <v>63.86</v>
      </c>
      <c r="E51" s="6">
        <v>80</v>
      </c>
      <c r="F51" s="6">
        <f>IF(A51="","",IFERROR(LOOKUP(2,1/(A$4:A50=A51),F$4:F50),0)+IF(ISNUMBER(C51),C51,0)-IF(ISNUMBER(E51),E51,0))</f>
        <v>209</v>
      </c>
      <c r="G51" s="11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>63.859861591695498</v>
      </c>
      <c r="I51" s="7"/>
    </row>
    <row r="52" spans="1:9" x14ac:dyDescent="0.4">
      <c r="A52" s="4" t="s">
        <v>21</v>
      </c>
      <c r="B52" s="5">
        <v>46143</v>
      </c>
      <c r="C52" s="6"/>
      <c r="D52" s="7">
        <v>63.86</v>
      </c>
      <c r="E52" s="6">
        <v>75</v>
      </c>
      <c r="F52" s="6">
        <f>IF(A52="","",IFERROR(LOOKUP(2,1/(A$4:A51=A52),F$4:F51),0)+IF(ISNUMBER(C52),C52,0)-IF(ISNUMBER(E52),E52,0))</f>
        <v>134</v>
      </c>
      <c r="G52" s="11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>63.859861591695498</v>
      </c>
      <c r="I52" s="7"/>
    </row>
    <row r="53" spans="1:9" x14ac:dyDescent="0.4">
      <c r="A53" s="4" t="s">
        <v>21</v>
      </c>
      <c r="B53" s="5">
        <v>46174</v>
      </c>
      <c r="C53" s="6"/>
      <c r="D53" s="7">
        <v>63.86</v>
      </c>
      <c r="E53" s="6"/>
      <c r="F53" s="6">
        <f>IF(A53="","",IFERROR(LOOKUP(2,1/(A$4:A52=A53),F$4:F52),0)+IF(ISNUMBER(C53),C53,0)-IF(ISNUMBER(E53),E53,0))</f>
        <v>134</v>
      </c>
      <c r="G53" s="11">
        <f>IF(A53="","",IF(IF(ISNUMBER(C53),C53,0)=0,IFERROR(LOOKUP(2,1/(A$4:A52=A53),G$4:G52),IF(ISNUMBER(D53),D53,"")),IF(IFERROR(LOOKUP(2,1/(A$4:A52=A53),F$4:F52),0)&lt;=0,D53,(MAX(0,IFERROR(LOOKUP(2,1/(A$4:A52=A53),F$4:F52),0))*IFERROR(LOOKUP(2,1/(A$4:A52=A53),G$4:G52),0)+C53*D53)/(MAX(0,IFERROR(LOOKUP(2,1/(A$4:A52=A53),F$4:F52),0))+C53))))</f>
        <v>63.859861591695498</v>
      </c>
      <c r="I53" s="7"/>
    </row>
    <row r="54" spans="1:9" x14ac:dyDescent="0.4">
      <c r="A54" s="4" t="s">
        <v>21</v>
      </c>
      <c r="B54" s="5">
        <v>46204</v>
      </c>
      <c r="C54" s="6">
        <v>100</v>
      </c>
      <c r="D54" s="7">
        <v>75</v>
      </c>
      <c r="E54" s="6"/>
      <c r="F54" s="6">
        <f>IF(A54="","",IFERROR(LOOKUP(2,1/(A$4:A53=A54),F$4:F53),0)+IF(ISNUMBER(C54),C54,0)-IF(ISNUMBER(E54),E54,0))</f>
        <v>234</v>
      </c>
      <c r="G54" s="11">
        <f>IF(A54="","",IF(IF(ISNUMBER(C54),C54,0)=0,IFERROR(LOOKUP(2,1/(A$4:A53=A54),G$4:G53),IF(ISNUMBER(D54),D54,"")),IF(IFERROR(LOOKUP(2,1/(A$4:A53=A54),F$4:F53),0)&lt;=0,D54,(MAX(0,IFERROR(LOOKUP(2,1/(A$4:A53=A54),F$4:F53),0))*IFERROR(LOOKUP(2,1/(A$4:A53=A54),G$4:G53),0)+C54*D54)/(MAX(0,IFERROR(LOOKUP(2,1/(A$4:A53=A54),F$4:F53),0))+C54))))</f>
        <v>68.620604501227334</v>
      </c>
      <c r="I54" s="7"/>
    </row>
    <row r="55" spans="1:9" x14ac:dyDescent="0.4">
      <c r="A55" s="4" t="s">
        <v>21</v>
      </c>
      <c r="B55" s="5">
        <v>46204</v>
      </c>
      <c r="C55" s="6"/>
      <c r="D55" s="7">
        <v>68.620604501227334</v>
      </c>
      <c r="E55" s="6"/>
      <c r="F55" s="6">
        <f>IF(A55="","",IFERROR(LOOKUP(2,1/(A$4:A54=A55),F$4:F54),0)+IF(ISNUMBER(C55),C55,0)-IF(ISNUMBER(E55),E55,0))</f>
        <v>234</v>
      </c>
      <c r="G55" s="11">
        <f>IF(A55="","",IF(IF(ISNUMBER(C55),C55,0)=0,IFERROR(LOOKUP(2,1/(A$4:A54=A55),G$4:G54),IF(ISNUMBER(D55),D55,"")),IF(IFERROR(LOOKUP(2,1/(A$4:A54=A55),F$4:F54),0)&lt;=0,D55,(MAX(0,IFERROR(LOOKUP(2,1/(A$4:A54=A55),F$4:F54),0))*IFERROR(LOOKUP(2,1/(A$4:A54=A55),G$4:G54),0)+C55*D55)/(MAX(0,IFERROR(LOOKUP(2,1/(A$4:A54=A55),F$4:F54),0))+C55))))</f>
        <v>68.620604501227334</v>
      </c>
      <c r="I55" s="7"/>
    </row>
    <row r="56" spans="1:9" x14ac:dyDescent="0.4">
      <c r="A56" s="4" t="s">
        <v>21</v>
      </c>
      <c r="B56" s="5">
        <v>46235</v>
      </c>
      <c r="C56" s="6"/>
      <c r="D56" s="7">
        <v>68.620604501227334</v>
      </c>
      <c r="E56" s="6">
        <v>185</v>
      </c>
      <c r="F56" s="6">
        <f>IF(A56="","",IFERROR(LOOKUP(2,1/(A$4:A55=A56),F$4:F55),0)+IF(ISNUMBER(C56),C56,0)-IF(ISNUMBER(E56),E56,0))</f>
        <v>49</v>
      </c>
      <c r="G56" s="11">
        <f>IF(A56="","",IF(IF(ISNUMBER(C56),C56,0)=0,IFERROR(LOOKUP(2,1/(A$4:A55=A56),G$4:G55),IF(ISNUMBER(D56),D56,"")),IF(IFERROR(LOOKUP(2,1/(A$4:A55=A56),F$4:F55),0)&lt;=0,D56,(MAX(0,IFERROR(LOOKUP(2,1/(A$4:A55=A56),F$4:F55),0))*IFERROR(LOOKUP(2,1/(A$4:A55=A56),G$4:G55),0)+C56*D56)/(MAX(0,IFERROR(LOOKUP(2,1/(A$4:A55=A56),F$4:F55),0))+C56))))</f>
        <v>68.620604501227334</v>
      </c>
      <c r="I56" s="7"/>
    </row>
    <row r="57" spans="1:9" x14ac:dyDescent="0.4">
      <c r="A57" s="4" t="s">
        <v>21</v>
      </c>
      <c r="B57" s="5">
        <v>46266</v>
      </c>
      <c r="C57" s="6"/>
      <c r="D57" s="7">
        <v>68.620604501227334</v>
      </c>
      <c r="E57" s="6"/>
      <c r="F57" s="6">
        <f>IF(A57="","",IFERROR(LOOKUP(2,1/(A$4:A56=A57),F$4:F56),0)+IF(ISNUMBER(C57),C57,0)-IF(ISNUMBER(E57),E57,0))</f>
        <v>49</v>
      </c>
      <c r="G57" s="11">
        <f>IF(A57="","",IF(IF(ISNUMBER(C57),C57,0)=0,IFERROR(LOOKUP(2,1/(A$4:A56=A57),G$4:G56),IF(ISNUMBER(D57),D57,"")),IF(IFERROR(LOOKUP(2,1/(A$4:A56=A57),F$4:F56),0)&lt;=0,D57,(MAX(0,IFERROR(LOOKUP(2,1/(A$4:A56=A57),F$4:F56),0))*IFERROR(LOOKUP(2,1/(A$4:A56=A57),G$4:G56),0)+C57*D57)/(MAX(0,IFERROR(LOOKUP(2,1/(A$4:A56=A57),F$4:F56),0))+C57))))</f>
        <v>68.620604501227334</v>
      </c>
      <c r="I57" s="7"/>
    </row>
    <row r="58" spans="1:9" x14ac:dyDescent="0.4">
      <c r="A58" s="4" t="s">
        <v>21</v>
      </c>
      <c r="B58" s="5">
        <v>46266</v>
      </c>
      <c r="C58" s="6"/>
      <c r="D58" s="7">
        <v>73.5</v>
      </c>
      <c r="E58" s="6"/>
      <c r="F58" s="6">
        <f>IF(A58="","",IFERROR(LOOKUP(2,1/(A$4:A57=A58),F$4:F57),0)+IF(ISNUMBER(C58),C58,0)-IF(ISNUMBER(E58),E58,0))</f>
        <v>49</v>
      </c>
      <c r="G58" s="11">
        <f>IF(A58="","",IF(IF(ISNUMBER(C58),C58,0)=0,IFERROR(LOOKUP(2,1/(A$4:A57=A58),G$4:G57),IF(ISNUMBER(D58),D58,"")),IF(IFERROR(LOOKUP(2,1/(A$4:A57=A58),F$4:F57),0)&lt;=0,D58,(MAX(0,IFERROR(LOOKUP(2,1/(A$4:A57=A58),F$4:F57),0))*IFERROR(LOOKUP(2,1/(A$4:A57=A58),G$4:G57),0)+C58*D58)/(MAX(0,IFERROR(LOOKUP(2,1/(A$4:A57=A58),F$4:F57),0))+C58))))</f>
        <v>68.620604501227334</v>
      </c>
      <c r="I58" s="7"/>
    </row>
    <row r="59" spans="1:9" x14ac:dyDescent="0.4">
      <c r="A59" s="4" t="s">
        <v>23</v>
      </c>
      <c r="B59" s="5">
        <v>45992</v>
      </c>
      <c r="C59" s="6">
        <v>20</v>
      </c>
      <c r="D59" s="7">
        <v>42</v>
      </c>
      <c r="E59" s="6"/>
      <c r="F59" s="6">
        <f>IF(A59="","",IFERROR(LOOKUP(2,1/(A$4:A58=A59),F$4:F58),0)+IF(ISNUMBER(C59),C59,0)-IF(ISNUMBER(E59),E59,0))</f>
        <v>20</v>
      </c>
      <c r="G59" s="11">
        <f>IF(A59="","",IF(IF(ISNUMBER(C59),C59,0)=0,IFERROR(LOOKUP(2,1/(A$4:A58=A59),G$4:G58),IF(ISNUMBER(D59),D59,"")),IF(IFERROR(LOOKUP(2,1/(A$4:A58=A59),F$4:F58),0)&lt;=0,D59,(MAX(0,IFERROR(LOOKUP(2,1/(A$4:A58=A59),F$4:F58),0))*IFERROR(LOOKUP(2,1/(A$4:A58=A59),G$4:G58),0)+C59*D59)/(MAX(0,IFERROR(LOOKUP(2,1/(A$4:A58=A59),F$4:F58),0))+C59))))</f>
        <v>42</v>
      </c>
      <c r="I59" s="7"/>
    </row>
    <row r="60" spans="1:9" x14ac:dyDescent="0.4">
      <c r="A60" s="4" t="s">
        <v>23</v>
      </c>
      <c r="B60" s="5">
        <v>46023</v>
      </c>
      <c r="C60" s="6"/>
      <c r="D60" s="7">
        <v>42</v>
      </c>
      <c r="E60" s="6"/>
      <c r="F60" s="6">
        <f>IF(A60="","",IFERROR(LOOKUP(2,1/(A$4:A59=A60),F$4:F59),0)+IF(ISNUMBER(C60),C60,0)-IF(ISNUMBER(E60),E60,0))</f>
        <v>20</v>
      </c>
      <c r="G60" s="11">
        <f>IF(A60="","",IF(IF(ISNUMBER(C60),C60,0)=0,IFERROR(LOOKUP(2,1/(A$4:A59=A60),G$4:G59),IF(ISNUMBER(D60),D60,"")),IF(IFERROR(LOOKUP(2,1/(A$4:A59=A60),F$4:F59),0)&lt;=0,D60,(MAX(0,IFERROR(LOOKUP(2,1/(A$4:A59=A60),F$4:F59),0))*IFERROR(LOOKUP(2,1/(A$4:A59=A60),G$4:G59),0)+C60*D60)/(MAX(0,IFERROR(LOOKUP(2,1/(A$4:A59=A60),F$4:F59),0))+C60))))</f>
        <v>42</v>
      </c>
      <c r="I60" s="7"/>
    </row>
    <row r="61" spans="1:9" x14ac:dyDescent="0.4">
      <c r="A61" s="4" t="s">
        <v>23</v>
      </c>
      <c r="B61" s="5">
        <v>46054</v>
      </c>
      <c r="C61" s="6"/>
      <c r="D61" s="7">
        <v>42</v>
      </c>
      <c r="E61" s="6"/>
      <c r="F61" s="6">
        <f>IF(A61="","",IFERROR(LOOKUP(2,1/(A$4:A60=A61),F$4:F60),0)+IF(ISNUMBER(C61),C61,0)-IF(ISNUMBER(E61),E61,0))</f>
        <v>20</v>
      </c>
      <c r="G61" s="11">
        <f>IF(A61="","",IF(IF(ISNUMBER(C61),C61,0)=0,IFERROR(LOOKUP(2,1/(A$4:A60=A61),G$4:G60),IF(ISNUMBER(D61),D61,"")),IF(IFERROR(LOOKUP(2,1/(A$4:A60=A61),F$4:F60),0)&lt;=0,D61,(MAX(0,IFERROR(LOOKUP(2,1/(A$4:A60=A61),F$4:F60),0))*IFERROR(LOOKUP(2,1/(A$4:A60=A61),G$4:G60),0)+C61*D61)/(MAX(0,IFERROR(LOOKUP(2,1/(A$4:A60=A61),F$4:F60),0))+C61))))</f>
        <v>42</v>
      </c>
      <c r="I61" s="7"/>
    </row>
    <row r="62" spans="1:9" x14ac:dyDescent="0.4">
      <c r="A62" s="4" t="s">
        <v>23</v>
      </c>
      <c r="B62" s="5">
        <v>46082</v>
      </c>
      <c r="C62" s="6"/>
      <c r="D62" s="7">
        <v>42</v>
      </c>
      <c r="E62" s="6"/>
      <c r="F62" s="6">
        <f>IF(A62="","",IFERROR(LOOKUP(2,1/(A$4:A61=A62),F$4:F61),0)+IF(ISNUMBER(C62),C62,0)-IF(ISNUMBER(E62),E62,0))</f>
        <v>20</v>
      </c>
      <c r="G62" s="11">
        <f>IF(A62="","",IF(IF(ISNUMBER(C62),C62,0)=0,IFERROR(LOOKUP(2,1/(A$4:A61=A62),G$4:G61),IF(ISNUMBER(D62),D62,"")),IF(IFERROR(LOOKUP(2,1/(A$4:A61=A62),F$4:F61),0)&lt;=0,D62,(MAX(0,IFERROR(LOOKUP(2,1/(A$4:A61=A62),F$4:F61),0))*IFERROR(LOOKUP(2,1/(A$4:A61=A62),G$4:G61),0)+C62*D62)/(MAX(0,IFERROR(LOOKUP(2,1/(A$4:A61=A62),F$4:F61),0))+C62))))</f>
        <v>42</v>
      </c>
      <c r="I62" s="7"/>
    </row>
    <row r="63" spans="1:9" x14ac:dyDescent="0.4">
      <c r="A63" s="4" t="s">
        <v>23</v>
      </c>
      <c r="B63" s="5">
        <v>46113</v>
      </c>
      <c r="C63" s="6"/>
      <c r="D63" s="7">
        <v>42</v>
      </c>
      <c r="E63" s="6"/>
      <c r="F63" s="6">
        <f>IF(A63="","",IFERROR(LOOKUP(2,1/(A$4:A62=A63),F$4:F62),0)+IF(ISNUMBER(C63),C63,0)-IF(ISNUMBER(E63),E63,0))</f>
        <v>20</v>
      </c>
      <c r="G63" s="11">
        <f>IF(A63="","",IF(IF(ISNUMBER(C63),C63,0)=0,IFERROR(LOOKUP(2,1/(A$4:A62=A63),G$4:G62),IF(ISNUMBER(D63),D63,"")),IF(IFERROR(LOOKUP(2,1/(A$4:A62=A63),F$4:F62),0)&lt;=0,D63,(MAX(0,IFERROR(LOOKUP(2,1/(A$4:A62=A63),F$4:F62),0))*IFERROR(LOOKUP(2,1/(A$4:A62=A63),G$4:G62),0)+C63*D63)/(MAX(0,IFERROR(LOOKUP(2,1/(A$4:A62=A63),F$4:F62),0))+C63))))</f>
        <v>42</v>
      </c>
      <c r="I63" s="7"/>
    </row>
    <row r="64" spans="1:9" x14ac:dyDescent="0.4">
      <c r="A64" s="4" t="s">
        <v>23</v>
      </c>
      <c r="B64" s="5">
        <v>46143</v>
      </c>
      <c r="C64" s="6">
        <v>10</v>
      </c>
      <c r="D64" s="7">
        <v>42</v>
      </c>
      <c r="E64" s="6"/>
      <c r="F64" s="6">
        <f>IF(A64="","",IFERROR(LOOKUP(2,1/(A$4:A63=A64),F$4:F63),0)+IF(ISNUMBER(C64),C64,0)-IF(ISNUMBER(E64),E64,0))</f>
        <v>30</v>
      </c>
      <c r="G64" s="11">
        <f>IF(A64="","",IF(IF(ISNUMBER(C64),C64,0)=0,IFERROR(LOOKUP(2,1/(A$4:A63=A64),G$4:G63),IF(ISNUMBER(D64),D64,"")),IF(IFERROR(LOOKUP(2,1/(A$4:A63=A64),F$4:F63),0)&lt;=0,D64,(MAX(0,IFERROR(LOOKUP(2,1/(A$4:A63=A64),F$4:F63),0))*IFERROR(LOOKUP(2,1/(A$4:A63=A64),G$4:G63),0)+C64*D64)/(MAX(0,IFERROR(LOOKUP(2,1/(A$4:A63=A64),F$4:F63),0))+C64))))</f>
        <v>42</v>
      </c>
      <c r="I64" s="7"/>
    </row>
    <row r="65" spans="1:9" x14ac:dyDescent="0.4">
      <c r="A65" s="4" t="s">
        <v>23</v>
      </c>
      <c r="B65" s="5">
        <v>46143</v>
      </c>
      <c r="C65" s="6"/>
      <c r="D65" s="7">
        <v>42</v>
      </c>
      <c r="E65" s="6"/>
      <c r="F65" s="6">
        <f>IF(A65="","",IFERROR(LOOKUP(2,1/(A$4:A64=A65),F$4:F64),0)+IF(ISNUMBER(C65),C65,0)-IF(ISNUMBER(E65),E65,0))</f>
        <v>30</v>
      </c>
      <c r="G65" s="11">
        <f>IF(A65="","",IF(IF(ISNUMBER(C65),C65,0)=0,IFERROR(LOOKUP(2,1/(A$4:A64=A65),G$4:G64),IF(ISNUMBER(D65),D65,"")),IF(IFERROR(LOOKUP(2,1/(A$4:A64=A65),F$4:F64),0)&lt;=0,D65,(MAX(0,IFERROR(LOOKUP(2,1/(A$4:A64=A65),F$4:F64),0))*IFERROR(LOOKUP(2,1/(A$4:A64=A65),G$4:G64),0)+C65*D65)/(MAX(0,IFERROR(LOOKUP(2,1/(A$4:A64=A65),F$4:F64),0))+C65))))</f>
        <v>42</v>
      </c>
      <c r="I65" s="7"/>
    </row>
    <row r="66" spans="1:9" x14ac:dyDescent="0.4">
      <c r="A66" s="4" t="s">
        <v>23</v>
      </c>
      <c r="B66" s="5">
        <v>46174</v>
      </c>
      <c r="C66" s="6"/>
      <c r="D66" s="7">
        <v>42</v>
      </c>
      <c r="E66" s="6"/>
      <c r="F66" s="6">
        <f>IF(A66="","",IFERROR(LOOKUP(2,1/(A$4:A65=A66),F$4:F65),0)+IF(ISNUMBER(C66),C66,0)-IF(ISNUMBER(E66),E66,0))</f>
        <v>30</v>
      </c>
      <c r="G66" s="11">
        <f>IF(A66="","",IF(IF(ISNUMBER(C66),C66,0)=0,IFERROR(LOOKUP(2,1/(A$4:A65=A66),G$4:G65),IF(ISNUMBER(D66),D66,"")),IF(IFERROR(LOOKUP(2,1/(A$4:A65=A66),F$4:F65),0)&lt;=0,D66,(MAX(0,IFERROR(LOOKUP(2,1/(A$4:A65=A66),F$4:F65),0))*IFERROR(LOOKUP(2,1/(A$4:A65=A66),G$4:G65),0)+C66*D66)/(MAX(0,IFERROR(LOOKUP(2,1/(A$4:A65=A66),F$4:F65),0))+C66))))</f>
        <v>42</v>
      </c>
      <c r="I66" s="7"/>
    </row>
    <row r="67" spans="1:9" x14ac:dyDescent="0.4">
      <c r="A67" s="4" t="s">
        <v>23</v>
      </c>
      <c r="B67" s="5">
        <v>46204</v>
      </c>
      <c r="C67" s="6"/>
      <c r="D67" s="7">
        <v>42</v>
      </c>
      <c r="E67" s="6"/>
      <c r="F67" s="6">
        <f>IF(A67="","",IFERROR(LOOKUP(2,1/(A$4:A66=A67),F$4:F66),0)+IF(ISNUMBER(C67),C67,0)-IF(ISNUMBER(E67),E67,0))</f>
        <v>30</v>
      </c>
      <c r="G67" s="11">
        <f>IF(A67="","",IF(IF(ISNUMBER(C67),C67,0)=0,IFERROR(LOOKUP(2,1/(A$4:A66=A67),G$4:G66),IF(ISNUMBER(D67),D67,"")),IF(IFERROR(LOOKUP(2,1/(A$4:A66=A67),F$4:F66),0)&lt;=0,D67,(MAX(0,IFERROR(LOOKUP(2,1/(A$4:A66=A67),F$4:F66),0))*IFERROR(LOOKUP(2,1/(A$4:A66=A67),G$4:G66),0)+C67*D67)/(MAX(0,IFERROR(LOOKUP(2,1/(A$4:A66=A67),F$4:F66),0))+C67))))</f>
        <v>42</v>
      </c>
      <c r="I67" s="7"/>
    </row>
    <row r="68" spans="1:9" x14ac:dyDescent="0.4">
      <c r="A68" s="4" t="s">
        <v>23</v>
      </c>
      <c r="B68" s="5">
        <v>46235</v>
      </c>
      <c r="C68" s="6"/>
      <c r="D68" s="7">
        <v>42</v>
      </c>
      <c r="E68" s="6"/>
      <c r="F68" s="6">
        <f>IF(A68="","",IFERROR(LOOKUP(2,1/(A$4:A67=A68),F$4:F67),0)+IF(ISNUMBER(C68),C68,0)-IF(ISNUMBER(E68),E68,0))</f>
        <v>30</v>
      </c>
      <c r="G68" s="11">
        <f>IF(A68="","",IF(IF(ISNUMBER(C68),C68,0)=0,IFERROR(LOOKUP(2,1/(A$4:A67=A68),G$4:G67),IF(ISNUMBER(D68),D68,"")),IF(IFERROR(LOOKUP(2,1/(A$4:A67=A68),F$4:F67),0)&lt;=0,D68,(MAX(0,IFERROR(LOOKUP(2,1/(A$4:A67=A68),F$4:F67),0))*IFERROR(LOOKUP(2,1/(A$4:A67=A68),G$4:G67),0)+C68*D68)/(MAX(0,IFERROR(LOOKUP(2,1/(A$4:A67=A68),F$4:F67),0))+C68))))</f>
        <v>42</v>
      </c>
      <c r="I68" s="7"/>
    </row>
    <row r="69" spans="1:9" x14ac:dyDescent="0.4">
      <c r="A69" s="4" t="s">
        <v>23</v>
      </c>
      <c r="B69" s="5">
        <v>46266</v>
      </c>
      <c r="C69" s="6"/>
      <c r="D69" s="7">
        <v>42</v>
      </c>
      <c r="E69" s="6"/>
      <c r="F69" s="6">
        <f>IF(A69="","",IFERROR(LOOKUP(2,1/(A$4:A68=A69),F$4:F68),0)+IF(ISNUMBER(C69),C69,0)-IF(ISNUMBER(E69),E69,0))</f>
        <v>30</v>
      </c>
      <c r="G69" s="11">
        <f>IF(A69="","",IF(IF(ISNUMBER(C69),C69,0)=0,IFERROR(LOOKUP(2,1/(A$4:A68=A69),G$4:G68),IF(ISNUMBER(D69),D69,"")),IF(IFERROR(LOOKUP(2,1/(A$4:A68=A69),F$4:F68),0)&lt;=0,D69,(MAX(0,IFERROR(LOOKUP(2,1/(A$4:A68=A69),F$4:F68),0))*IFERROR(LOOKUP(2,1/(A$4:A68=A69),G$4:G68),0)+C69*D69)/(MAX(0,IFERROR(LOOKUP(2,1/(A$4:A68=A69),F$4:F68),0))+C69))))</f>
        <v>42</v>
      </c>
      <c r="I69" s="7"/>
    </row>
    <row r="70" spans="1:9" x14ac:dyDescent="0.4">
      <c r="A70" s="4"/>
      <c r="B70" s="5"/>
      <c r="C70" s="6"/>
      <c r="D70" s="7"/>
      <c r="E70" s="6"/>
      <c r="F70" s="6" t="str">
        <f>IF(A70="","",IFERROR(LOOKUP(2,1/(A$4:A69=A70),F$4:F69),0)+IF(ISNUMBER(C70),C70,0)-IF(ISNUMBER(E70),E70,0))</f>
        <v/>
      </c>
      <c r="G70" s="11" t="str">
        <f>IF(A70="","",IF(IF(ISNUMBER(C70),C70,0)=0,IFERROR(LOOKUP(2,1/(A$4:A69=A70),G$4:G69),IF(ISNUMBER(D70),D70,"")),IF(IFERROR(LOOKUP(2,1/(A$4:A69=A70),F$4:F69),0)&lt;=0,D70,(MAX(0,IFERROR(LOOKUP(2,1/(A$4:A69=A70),F$4:F69),0))*IFERROR(LOOKUP(2,1/(A$4:A69=A70),G$4:G69),0)+C70*D70)/(MAX(0,IFERROR(LOOKUP(2,1/(A$4:A69=A70),F$4:F69),0))+C70))))</f>
        <v/>
      </c>
      <c r="I70" s="7"/>
    </row>
    <row r="71" spans="1:9" x14ac:dyDescent="0.4">
      <c r="A71" s="4"/>
      <c r="B71" s="5"/>
      <c r="C71" s="6"/>
      <c r="D71" s="7"/>
      <c r="E71" s="6"/>
      <c r="F71" s="6" t="str">
        <f>IF(A71="","",IFERROR(LOOKUP(2,1/(A$4:A70=A71),F$4:F70),0)+IF(ISNUMBER(C71),C71,0)-IF(ISNUMBER(E71),E71,0))</f>
        <v/>
      </c>
      <c r="G71" s="11" t="str">
        <f>IF(A71="","",IF(IF(ISNUMBER(C71),C71,0)=0,IFERROR(LOOKUP(2,1/(A$4:A70=A71),G$4:G70),IF(ISNUMBER(D71),D71,"")),IF(IFERROR(LOOKUP(2,1/(A$4:A70=A71),F$4:F70),0)&lt;=0,D71,(MAX(0,IFERROR(LOOKUP(2,1/(A$4:A70=A71),F$4:F70),0))*IFERROR(LOOKUP(2,1/(A$4:A70=A71),G$4:G70),0)+C71*D71)/(MAX(0,IFERROR(LOOKUP(2,1/(A$4:A70=A71),F$4:F70),0))+C71))))</f>
        <v/>
      </c>
      <c r="I71" s="7"/>
    </row>
    <row r="72" spans="1:9" x14ac:dyDescent="0.4">
      <c r="A72" s="4"/>
      <c r="B72" s="5"/>
      <c r="C72" s="6"/>
      <c r="D72" s="7"/>
      <c r="E72" s="6"/>
      <c r="F72" s="6" t="str">
        <f>IF(A72="","",IFERROR(LOOKUP(2,1/(A$4:A71=A72),F$4:F71),0)+IF(ISNUMBER(C72),C72,0)-IF(ISNUMBER(E72),E72,0))</f>
        <v/>
      </c>
      <c r="G72" s="11" t="str">
        <f>IF(A72="","",IF(IF(ISNUMBER(C72),C72,0)=0,IFERROR(LOOKUP(2,1/(A$4:A71=A72),G$4:G71),IF(ISNUMBER(D72),D72,"")),IF(IFERROR(LOOKUP(2,1/(A$4:A71=A72),F$4:F71),0)&lt;=0,D72,(MAX(0,IFERROR(LOOKUP(2,1/(A$4:A71=A72),F$4:F71),0))*IFERROR(LOOKUP(2,1/(A$4:A71=A72),G$4:G71),0)+C72*D72)/(MAX(0,IFERROR(LOOKUP(2,1/(A$4:A71=A72),F$4:F71),0))+C72))))</f>
        <v/>
      </c>
      <c r="I72" s="7"/>
    </row>
    <row r="73" spans="1:9" x14ac:dyDescent="0.4">
      <c r="A73" s="4"/>
      <c r="B73" s="5"/>
      <c r="C73" s="6"/>
      <c r="D73" s="7"/>
      <c r="E73" s="6"/>
      <c r="F73" s="6" t="str">
        <f>IF(A73="","",IFERROR(LOOKUP(2,1/(A$4:A72=A73),F$4:F72),0)+IF(ISNUMBER(C73),C73,0)-IF(ISNUMBER(E73),E73,0))</f>
        <v/>
      </c>
      <c r="G73" s="11" t="str">
        <f>IF(A73="","",IF(IF(ISNUMBER(C73),C73,0)=0,IFERROR(LOOKUP(2,1/(A$4:A72=A73),G$4:G72),IF(ISNUMBER(D73),D73,"")),IF(IFERROR(LOOKUP(2,1/(A$4:A72=A73),F$4:F72),0)&lt;=0,D73,(MAX(0,IFERROR(LOOKUP(2,1/(A$4:A72=A73),F$4:F72),0))*IFERROR(LOOKUP(2,1/(A$4:A72=A73),G$4:G72),0)+C73*D73)/(MAX(0,IFERROR(LOOKUP(2,1/(A$4:A72=A73),F$4:F72),0))+C73))))</f>
        <v/>
      </c>
      <c r="I73" s="7"/>
    </row>
    <row r="74" spans="1:9" x14ac:dyDescent="0.4">
      <c r="A74" s="4"/>
      <c r="B74" s="5"/>
      <c r="C74" s="6"/>
      <c r="D74" s="7"/>
      <c r="E74" s="6"/>
      <c r="F74" s="6" t="str">
        <f>IF(A74="","",IFERROR(LOOKUP(2,1/(A$4:A73=A74),F$4:F73),0)+IF(ISNUMBER(C74),C74,0)-IF(ISNUMBER(E74),E74,0))</f>
        <v/>
      </c>
      <c r="G74" s="11" t="str">
        <f>IF(A74="","",IF(IF(ISNUMBER(C74),C74,0)=0,IFERROR(LOOKUP(2,1/(A$4:A73=A74),G$4:G73),IF(ISNUMBER(D74),D74,"")),IF(IFERROR(LOOKUP(2,1/(A$4:A73=A74),F$4:F73),0)&lt;=0,D74,(MAX(0,IFERROR(LOOKUP(2,1/(A$4:A73=A74),F$4:F73),0))*IFERROR(LOOKUP(2,1/(A$4:A73=A74),G$4:G73),0)+C74*D74)/(MAX(0,IFERROR(LOOKUP(2,1/(A$4:A73=A74),F$4:F73),0))+C74))))</f>
        <v/>
      </c>
      <c r="I74" s="7"/>
    </row>
    <row r="75" spans="1:9" x14ac:dyDescent="0.4">
      <c r="A75" s="4"/>
      <c r="B75" s="5"/>
      <c r="C75" s="6"/>
      <c r="D75" s="7"/>
      <c r="E75" s="6"/>
      <c r="F75" s="6" t="str">
        <f>IF(A75="","",IFERROR(LOOKUP(2,1/(A$4:A74=A75),F$4:F74),0)+IF(ISNUMBER(C75),C75,0)-IF(ISNUMBER(E75),E75,0))</f>
        <v/>
      </c>
      <c r="G75" s="11" t="str">
        <f>IF(A75="","",IF(IF(ISNUMBER(C75),C75,0)=0,IFERROR(LOOKUP(2,1/(A$4:A74=A75),G$4:G74),IF(ISNUMBER(D75),D75,"")),IF(IFERROR(LOOKUP(2,1/(A$4:A74=A75),F$4:F74),0)&lt;=0,D75,(MAX(0,IFERROR(LOOKUP(2,1/(A$4:A74=A75),F$4:F74),0))*IFERROR(LOOKUP(2,1/(A$4:A74=A75),G$4:G74),0)+C75*D75)/(MAX(0,IFERROR(LOOKUP(2,1/(A$4:A74=A75),F$4:F74),0))+C75))))</f>
        <v/>
      </c>
      <c r="I75" s="7"/>
    </row>
    <row r="76" spans="1:9" x14ac:dyDescent="0.4">
      <c r="A76" s="4"/>
      <c r="B76" s="5"/>
      <c r="C76" s="6"/>
      <c r="D76" s="7"/>
      <c r="E76" s="6"/>
      <c r="F76" s="6" t="str">
        <f>IF(A76="","",IFERROR(LOOKUP(2,1/(A$4:A75=A76),F$4:F75),0)+IF(ISNUMBER(C76),C76,0)-IF(ISNUMBER(E76),E76,0))</f>
        <v/>
      </c>
      <c r="G76" s="11" t="str">
        <f>IF(A76="","",IF(IF(ISNUMBER(C76),C76,0)=0,IFERROR(LOOKUP(2,1/(A$4:A75=A76),G$4:G75),IF(ISNUMBER(D76),D76,"")),IF(IFERROR(LOOKUP(2,1/(A$4:A75=A76),F$4:F75),0)&lt;=0,D76,(MAX(0,IFERROR(LOOKUP(2,1/(A$4:A75=A76),F$4:F75),0))*IFERROR(LOOKUP(2,1/(A$4:A75=A76),G$4:G75),0)+C76*D76)/(MAX(0,IFERROR(LOOKUP(2,1/(A$4:A75=A76),F$4:F75),0))+C76))))</f>
        <v/>
      </c>
      <c r="I76" s="7"/>
    </row>
    <row r="77" spans="1:9" x14ac:dyDescent="0.4">
      <c r="A77" s="4"/>
      <c r="B77" s="5"/>
      <c r="C77" s="6"/>
      <c r="D77" s="7"/>
      <c r="E77" s="6"/>
      <c r="F77" s="6" t="str">
        <f>IF(A77="","",IFERROR(LOOKUP(2,1/(A$4:A76=A77),F$4:F76),0)+IF(ISNUMBER(C77),C77,0)-IF(ISNUMBER(E77),E77,0))</f>
        <v/>
      </c>
      <c r="G77" s="11" t="str">
        <f>IF(A77="","",IF(IF(ISNUMBER(C77),C77,0)=0,IFERROR(LOOKUP(2,1/(A$4:A76=A77),G$4:G76),IF(ISNUMBER(D77),D77,"")),IF(IFERROR(LOOKUP(2,1/(A$4:A76=A77),F$4:F76),0)&lt;=0,D77,(MAX(0,IFERROR(LOOKUP(2,1/(A$4:A76=A77),F$4:F76),0))*IFERROR(LOOKUP(2,1/(A$4:A76=A77),G$4:G76),0)+C77*D77)/(MAX(0,IFERROR(LOOKUP(2,1/(A$4:A76=A77),F$4:F76),0))+C77))))</f>
        <v/>
      </c>
      <c r="I77" s="7"/>
    </row>
    <row r="78" spans="1:9" x14ac:dyDescent="0.4">
      <c r="A78" s="4"/>
      <c r="B78" s="5"/>
      <c r="C78" s="6"/>
      <c r="D78" s="7"/>
      <c r="E78" s="6"/>
      <c r="F78" s="6" t="str">
        <f>IF(A78="","",IFERROR(LOOKUP(2,1/(A$4:A77=A78),F$4:F77),0)+IF(ISNUMBER(C78),C78,0)-IF(ISNUMBER(E78),E78,0))</f>
        <v/>
      </c>
      <c r="G78" s="11" t="str">
        <f>IF(A78="","",IF(IF(ISNUMBER(C78),C78,0)=0,IFERROR(LOOKUP(2,1/(A$4:A77=A78),G$4:G77),IF(ISNUMBER(D78),D78,"")),IF(IFERROR(LOOKUP(2,1/(A$4:A77=A78),F$4:F77),0)&lt;=0,D78,(MAX(0,IFERROR(LOOKUP(2,1/(A$4:A77=A78),F$4:F77),0))*IFERROR(LOOKUP(2,1/(A$4:A77=A78),G$4:G77),0)+C78*D78)/(MAX(0,IFERROR(LOOKUP(2,1/(A$4:A77=A78),F$4:F77),0))+C78))))</f>
        <v/>
      </c>
      <c r="I78" s="7"/>
    </row>
    <row r="79" spans="1:9" x14ac:dyDescent="0.4">
      <c r="A79" s="4"/>
      <c r="B79" s="5"/>
      <c r="C79" s="6"/>
      <c r="D79" s="7"/>
      <c r="E79" s="6"/>
      <c r="F79" s="6" t="str">
        <f>IF(A79="","",IFERROR(LOOKUP(2,1/(A$4:A78=A79),F$4:F78),0)+IF(ISNUMBER(C79),C79,0)-IF(ISNUMBER(E79),E79,0))</f>
        <v/>
      </c>
      <c r="G79" s="11" t="str">
        <f>IF(A79="","",IF(IF(ISNUMBER(C79),C79,0)=0,IFERROR(LOOKUP(2,1/(A$4:A78=A79),G$4:G78),IF(ISNUMBER(D79),D79,"")),IF(IFERROR(LOOKUP(2,1/(A$4:A78=A79),F$4:F78),0)&lt;=0,D79,(MAX(0,IFERROR(LOOKUP(2,1/(A$4:A78=A79),F$4:F78),0))*IFERROR(LOOKUP(2,1/(A$4:A78=A79),G$4:G78),0)+C79*D79)/(MAX(0,IFERROR(LOOKUP(2,1/(A$4:A78=A79),F$4:F78),0))+C79))))</f>
        <v/>
      </c>
      <c r="I79" s="7"/>
    </row>
    <row r="80" spans="1:9" x14ac:dyDescent="0.4">
      <c r="A80" s="4"/>
      <c r="B80" s="5"/>
      <c r="C80" s="6"/>
      <c r="D80" s="7"/>
      <c r="E80" s="6"/>
      <c r="F80" s="6" t="str">
        <f>IF(A80="","",IFERROR(LOOKUP(2,1/(A$4:A79=A80),F$4:F79),0)+IF(ISNUMBER(C80),C80,0)-IF(ISNUMBER(E80),E80,0))</f>
        <v/>
      </c>
      <c r="G80" s="11" t="str">
        <f>IF(A80="","",IF(IF(ISNUMBER(C80),C80,0)=0,IFERROR(LOOKUP(2,1/(A$4:A79=A80),G$4:G79),IF(ISNUMBER(D80),D80,"")),IF(IFERROR(LOOKUP(2,1/(A$4:A79=A80),F$4:F79),0)&lt;=0,D80,(MAX(0,IFERROR(LOOKUP(2,1/(A$4:A79=A80),F$4:F79),0))*IFERROR(LOOKUP(2,1/(A$4:A79=A80),G$4:G79),0)+C80*D80)/(MAX(0,IFERROR(LOOKUP(2,1/(A$4:A79=A80),F$4:F79),0))+C80))))</f>
        <v/>
      </c>
      <c r="I80" s="7"/>
    </row>
    <row r="81" spans="1:9" x14ac:dyDescent="0.4">
      <c r="A81" s="4"/>
      <c r="B81" s="5"/>
      <c r="C81" s="6"/>
      <c r="D81" s="7"/>
      <c r="E81" s="6"/>
      <c r="F81" s="6" t="str">
        <f>IF(A81="","",IFERROR(LOOKUP(2,1/(A$4:A80=A81),F$4:F80),0)+IF(ISNUMBER(C81),C81,0)-IF(ISNUMBER(E81),E81,0))</f>
        <v/>
      </c>
      <c r="G81" s="11" t="str">
        <f>IF(A81="","",IF(IF(ISNUMBER(C81),C81,0)=0,IFERROR(LOOKUP(2,1/(A$4:A80=A81),G$4:G80),IF(ISNUMBER(D81),D81,"")),IF(IFERROR(LOOKUP(2,1/(A$4:A80=A81),F$4:F80),0)&lt;=0,D81,(MAX(0,IFERROR(LOOKUP(2,1/(A$4:A80=A81),F$4:F80),0))*IFERROR(LOOKUP(2,1/(A$4:A80=A81),G$4:G80),0)+C81*D81)/(MAX(0,IFERROR(LOOKUP(2,1/(A$4:A80=A81),F$4:F80),0))+C81))))</f>
        <v/>
      </c>
      <c r="I81" s="7"/>
    </row>
    <row r="82" spans="1:9" x14ac:dyDescent="0.4">
      <c r="A82" s="4"/>
      <c r="B82" s="5"/>
      <c r="C82" s="6"/>
      <c r="D82" s="7"/>
      <c r="E82" s="6"/>
      <c r="F82" s="6" t="str">
        <f>IF(A82="","",IFERROR(LOOKUP(2,1/(A$4:A81=A82),F$4:F81),0)+IF(ISNUMBER(C82),C82,0)-IF(ISNUMBER(E82),E82,0))</f>
        <v/>
      </c>
      <c r="G82" s="11" t="str">
        <f>IF(A82="","",IF(IF(ISNUMBER(C82),C82,0)=0,IFERROR(LOOKUP(2,1/(A$4:A81=A82),G$4:G81),IF(ISNUMBER(D82),D82,"")),IF(IFERROR(LOOKUP(2,1/(A$4:A81=A82),F$4:F81),0)&lt;=0,D82,(MAX(0,IFERROR(LOOKUP(2,1/(A$4:A81=A82),F$4:F81),0))*IFERROR(LOOKUP(2,1/(A$4:A81=A82),G$4:G81),0)+C82*D82)/(MAX(0,IFERROR(LOOKUP(2,1/(A$4:A81=A82),F$4:F81),0))+C82))))</f>
        <v/>
      </c>
      <c r="I82" s="7"/>
    </row>
    <row r="83" spans="1:9" x14ac:dyDescent="0.4">
      <c r="A83" s="4"/>
      <c r="B83" s="5"/>
      <c r="C83" s="6"/>
      <c r="D83" s="7"/>
      <c r="E83" s="6"/>
      <c r="F83" s="6" t="str">
        <f>IF(A83="","",IFERROR(LOOKUP(2,1/(A$4:A82=A83),F$4:F82),0)+IF(ISNUMBER(C83),C83,0)-IF(ISNUMBER(E83),E83,0))</f>
        <v/>
      </c>
      <c r="G83" s="11" t="str">
        <f>IF(A83="","",IF(IF(ISNUMBER(C83),C83,0)=0,IFERROR(LOOKUP(2,1/(A$4:A82=A83),G$4:G82),IF(ISNUMBER(D83),D83,"")),IF(IFERROR(LOOKUP(2,1/(A$4:A82=A83),F$4:F82),0)&lt;=0,D83,(MAX(0,IFERROR(LOOKUP(2,1/(A$4:A82=A83),F$4:F82),0))*IFERROR(LOOKUP(2,1/(A$4:A82=A83),G$4:G82),0)+C83*D83)/(MAX(0,IFERROR(LOOKUP(2,1/(A$4:A82=A83),F$4:F82),0))+C83))))</f>
        <v/>
      </c>
      <c r="I83" s="7"/>
    </row>
    <row r="84" spans="1:9" x14ac:dyDescent="0.4">
      <c r="A84" s="4"/>
      <c r="B84" s="5"/>
      <c r="C84" s="6"/>
      <c r="D84" s="7"/>
      <c r="E84" s="6"/>
      <c r="F84" s="6" t="str">
        <f>IF(A84="","",IFERROR(LOOKUP(2,1/(A$4:A83=A84),F$4:F83),0)+IF(ISNUMBER(C84),C84,0)-IF(ISNUMBER(E84),E84,0))</f>
        <v/>
      </c>
      <c r="G84" s="11" t="str">
        <f>IF(A84="","",IF(IF(ISNUMBER(C84),C84,0)=0,IFERROR(LOOKUP(2,1/(A$4:A83=A84),G$4:G83),IF(ISNUMBER(D84),D84,"")),IF(IFERROR(LOOKUP(2,1/(A$4:A83=A84),F$4:F83),0)&lt;=0,D84,(MAX(0,IFERROR(LOOKUP(2,1/(A$4:A83=A84),F$4:F83),0))*IFERROR(LOOKUP(2,1/(A$4:A83=A84),G$4:G83),0)+C84*D84)/(MAX(0,IFERROR(LOOKUP(2,1/(A$4:A83=A84),F$4:F83),0))+C84))))</f>
        <v/>
      </c>
      <c r="I84" s="7"/>
    </row>
    <row r="85" spans="1:9" x14ac:dyDescent="0.4">
      <c r="A85" s="4"/>
      <c r="B85" s="5"/>
      <c r="C85" s="6"/>
      <c r="D85" s="7"/>
      <c r="E85" s="6"/>
      <c r="F85" s="6" t="str">
        <f>IF(A85="","",IFERROR(LOOKUP(2,1/(A$4:A84=A85),F$4:F84),0)+IF(ISNUMBER(C85),C85,0)-IF(ISNUMBER(E85),E85,0))</f>
        <v/>
      </c>
      <c r="G85" s="11" t="str">
        <f>IF(A85="","",IF(IF(ISNUMBER(C85),C85,0)=0,IFERROR(LOOKUP(2,1/(A$4:A84=A85),G$4:G84),IF(ISNUMBER(D85),D85,"")),IF(IFERROR(LOOKUP(2,1/(A$4:A84=A85),F$4:F84),0)&lt;=0,D85,(MAX(0,IFERROR(LOOKUP(2,1/(A$4:A84=A85),F$4:F84),0))*IFERROR(LOOKUP(2,1/(A$4:A84=A85),G$4:G84),0)+C85*D85)/(MAX(0,IFERROR(LOOKUP(2,1/(A$4:A84=A85),F$4:F84),0))+C85))))</f>
        <v/>
      </c>
      <c r="I85" s="7"/>
    </row>
    <row r="86" spans="1:9" x14ac:dyDescent="0.4">
      <c r="A86" s="4"/>
      <c r="B86" s="5"/>
      <c r="C86" s="6"/>
      <c r="D86" s="7"/>
      <c r="E86" s="6"/>
      <c r="F86" s="6" t="str">
        <f>IF(A86="","",IFERROR(LOOKUP(2,1/(A$4:A85=A86),F$4:F85),0)+IF(ISNUMBER(C86),C86,0)-IF(ISNUMBER(E86),E86,0))</f>
        <v/>
      </c>
      <c r="G86" s="11" t="str">
        <f>IF(A86="","",IF(IF(ISNUMBER(C86),C86,0)=0,IFERROR(LOOKUP(2,1/(A$4:A85=A86),G$4:G85),IF(ISNUMBER(D86),D86,"")),IF(IFERROR(LOOKUP(2,1/(A$4:A85=A86),F$4:F85),0)&lt;=0,D86,(MAX(0,IFERROR(LOOKUP(2,1/(A$4:A85=A86),F$4:F85),0))*IFERROR(LOOKUP(2,1/(A$4:A85=A86),G$4:G85),0)+C86*D86)/(MAX(0,IFERROR(LOOKUP(2,1/(A$4:A85=A86),F$4:F85),0))+C86))))</f>
        <v/>
      </c>
      <c r="I86" s="7"/>
    </row>
    <row r="87" spans="1:9" x14ac:dyDescent="0.4">
      <c r="A87" s="4"/>
      <c r="B87" s="5"/>
      <c r="C87" s="6"/>
      <c r="D87" s="7"/>
      <c r="E87" s="6"/>
      <c r="F87" s="6" t="str">
        <f>IF(A87="","",IFERROR(LOOKUP(2,1/(A$4:A86=A87),F$4:F86),0)+IF(ISNUMBER(C87),C87,0)-IF(ISNUMBER(E87),E87,0))</f>
        <v/>
      </c>
      <c r="G87" s="11" t="str">
        <f>IF(A87="","",IF(IF(ISNUMBER(C87),C87,0)=0,IFERROR(LOOKUP(2,1/(A$4:A86=A87),G$4:G86),IF(ISNUMBER(D87),D87,"")),IF(IFERROR(LOOKUP(2,1/(A$4:A86=A87),F$4:F86),0)&lt;=0,D87,(MAX(0,IFERROR(LOOKUP(2,1/(A$4:A86=A87),F$4:F86),0))*IFERROR(LOOKUP(2,1/(A$4:A86=A87),G$4:G86),0)+C87*D87)/(MAX(0,IFERROR(LOOKUP(2,1/(A$4:A86=A87),F$4:F86),0))+C87))))</f>
        <v/>
      </c>
      <c r="I87" s="7"/>
    </row>
    <row r="88" spans="1:9" x14ac:dyDescent="0.4">
      <c r="A88" s="4"/>
      <c r="B88" s="5"/>
      <c r="C88" s="6"/>
      <c r="D88" s="7"/>
      <c r="E88" s="6"/>
      <c r="F88" s="6" t="str">
        <f>IF(A88="","",IFERROR(LOOKUP(2,1/(A$4:A87=A88),F$4:F87),0)+IF(ISNUMBER(C88),C88,0)-IF(ISNUMBER(E88),E88,0))</f>
        <v/>
      </c>
      <c r="G88" s="11" t="str">
        <f>IF(A88="","",IF(IF(ISNUMBER(C88),C88,0)=0,IFERROR(LOOKUP(2,1/(A$4:A87=A88),G$4:G87),IF(ISNUMBER(D88),D88,"")),IF(IFERROR(LOOKUP(2,1/(A$4:A87=A88),F$4:F87),0)&lt;=0,D88,(MAX(0,IFERROR(LOOKUP(2,1/(A$4:A87=A88),F$4:F87),0))*IFERROR(LOOKUP(2,1/(A$4:A87=A88),G$4:G87),0)+C88*D88)/(MAX(0,IFERROR(LOOKUP(2,1/(A$4:A87=A88),F$4:F87),0))+C88))))</f>
        <v/>
      </c>
      <c r="I88" s="7"/>
    </row>
    <row r="89" spans="1:9" x14ac:dyDescent="0.4">
      <c r="A89" s="4"/>
      <c r="B89" s="5"/>
      <c r="C89" s="6"/>
      <c r="D89" s="7"/>
      <c r="E89" s="6"/>
      <c r="F89" s="6" t="str">
        <f>IF(A89="","",IFERROR(LOOKUP(2,1/(A$4:A88=A89),F$4:F88),0)+IF(ISNUMBER(C89),C89,0)-IF(ISNUMBER(E89),E89,0))</f>
        <v/>
      </c>
      <c r="G89" s="11" t="str">
        <f>IF(A89="","",IF(IF(ISNUMBER(C89),C89,0)=0,IFERROR(LOOKUP(2,1/(A$4:A88=A89),G$4:G88),IF(ISNUMBER(D89),D89,"")),IF(IFERROR(LOOKUP(2,1/(A$4:A88=A89),F$4:F88),0)&lt;=0,D89,(MAX(0,IFERROR(LOOKUP(2,1/(A$4:A88=A89),F$4:F88),0))*IFERROR(LOOKUP(2,1/(A$4:A88=A89),G$4:G88),0)+C89*D89)/(MAX(0,IFERROR(LOOKUP(2,1/(A$4:A88=A89),F$4:F88),0))+C89))))</f>
        <v/>
      </c>
      <c r="I89" s="7"/>
    </row>
    <row r="90" spans="1:9" x14ac:dyDescent="0.4">
      <c r="A90" s="4"/>
      <c r="B90" s="5"/>
      <c r="C90" s="6"/>
      <c r="D90" s="7"/>
      <c r="E90" s="6"/>
      <c r="F90" s="6" t="str">
        <f>IF(A90="","",IFERROR(LOOKUP(2,1/(A$4:A89=A90),F$4:F89),0)+IF(ISNUMBER(C90),C90,0)-IF(ISNUMBER(E90),E90,0))</f>
        <v/>
      </c>
      <c r="G90" s="11" t="str">
        <f>IF(A90="","",IF(IF(ISNUMBER(C90),C90,0)=0,IFERROR(LOOKUP(2,1/(A$4:A89=A90),G$4:G89),IF(ISNUMBER(D90),D90,"")),IF(IFERROR(LOOKUP(2,1/(A$4:A89=A90),F$4:F89),0)&lt;=0,D90,(MAX(0,IFERROR(LOOKUP(2,1/(A$4:A89=A90),F$4:F89),0))*IFERROR(LOOKUP(2,1/(A$4:A89=A90),G$4:G89),0)+C90*D90)/(MAX(0,IFERROR(LOOKUP(2,1/(A$4:A89=A90),F$4:F89),0))+C90))))</f>
        <v/>
      </c>
      <c r="I90" s="7"/>
    </row>
    <row r="91" spans="1:9" x14ac:dyDescent="0.4">
      <c r="A91" s="4"/>
      <c r="B91" s="5"/>
      <c r="C91" s="6"/>
      <c r="D91" s="7"/>
      <c r="E91" s="6"/>
      <c r="F91" s="6" t="str">
        <f>IF(A91="","",IFERROR(LOOKUP(2,1/(A$4:A90=A91),F$4:F90),0)+IF(ISNUMBER(C91),C91,0)-IF(ISNUMBER(E91),E91,0))</f>
        <v/>
      </c>
      <c r="G91" s="11" t="str">
        <f>IF(A91="","",IF(IF(ISNUMBER(C91),C91,0)=0,IFERROR(LOOKUP(2,1/(A$4:A90=A91),G$4:G90),IF(ISNUMBER(D91),D91,"")),IF(IFERROR(LOOKUP(2,1/(A$4:A90=A91),F$4:F90),0)&lt;=0,D91,(MAX(0,IFERROR(LOOKUP(2,1/(A$4:A90=A91),F$4:F90),0))*IFERROR(LOOKUP(2,1/(A$4:A90=A91),G$4:G90),0)+C91*D91)/(MAX(0,IFERROR(LOOKUP(2,1/(A$4:A90=A91),F$4:F90),0))+C91))))</f>
        <v/>
      </c>
      <c r="I91" s="7"/>
    </row>
    <row r="92" spans="1:9" x14ac:dyDescent="0.4">
      <c r="A92" s="4"/>
      <c r="B92" s="5"/>
      <c r="C92" s="6"/>
      <c r="D92" s="7"/>
      <c r="E92" s="6"/>
      <c r="F92" s="6" t="str">
        <f>IF(A92="","",IFERROR(LOOKUP(2,1/(A$4:A91=A92),F$4:F91),0)+IF(ISNUMBER(C92),C92,0)-IF(ISNUMBER(E92),E92,0))</f>
        <v/>
      </c>
      <c r="G92" s="11" t="str">
        <f>IF(A92="","",IF(IF(ISNUMBER(C92),C92,0)=0,IFERROR(LOOKUP(2,1/(A$4:A91=A92),G$4:G91),IF(ISNUMBER(D92),D92,"")),IF(IFERROR(LOOKUP(2,1/(A$4:A91=A92),F$4:F91),0)&lt;=0,D92,(MAX(0,IFERROR(LOOKUP(2,1/(A$4:A91=A92),F$4:F91),0))*IFERROR(LOOKUP(2,1/(A$4:A91=A92),G$4:G91),0)+C92*D92)/(MAX(0,IFERROR(LOOKUP(2,1/(A$4:A91=A92),F$4:F91),0))+C92))))</f>
        <v/>
      </c>
      <c r="I92" s="7"/>
    </row>
    <row r="93" spans="1:9" x14ac:dyDescent="0.4">
      <c r="A93" s="4"/>
      <c r="B93" s="5"/>
      <c r="C93" s="6"/>
      <c r="D93" s="7"/>
      <c r="E93" s="6"/>
      <c r="F93" s="6" t="str">
        <f>IF(A93="","",IFERROR(LOOKUP(2,1/(A$4:A92=A93),F$4:F92),0)+IF(ISNUMBER(C93),C93,0)-IF(ISNUMBER(E93),E93,0))</f>
        <v/>
      </c>
      <c r="G93" s="11" t="str">
        <f>IF(A93="","",IF(IF(ISNUMBER(C93),C93,0)=0,IFERROR(LOOKUP(2,1/(A$4:A92=A93),G$4:G92),IF(ISNUMBER(D93),D93,"")),IF(IFERROR(LOOKUP(2,1/(A$4:A92=A93),F$4:F92),0)&lt;=0,D93,(MAX(0,IFERROR(LOOKUP(2,1/(A$4:A92=A93),F$4:F92),0))*IFERROR(LOOKUP(2,1/(A$4:A92=A93),G$4:G92),0)+C93*D93)/(MAX(0,IFERROR(LOOKUP(2,1/(A$4:A92=A93),F$4:F92),0))+C93))))</f>
        <v/>
      </c>
      <c r="I93" s="7"/>
    </row>
    <row r="94" spans="1:9" x14ac:dyDescent="0.4">
      <c r="A94" s="4"/>
      <c r="B94" s="5"/>
      <c r="C94" s="6"/>
      <c r="D94" s="7"/>
      <c r="E94" s="6"/>
      <c r="F94" s="6" t="str">
        <f>IF(A94="","",IFERROR(LOOKUP(2,1/(A$4:A93=A94),F$4:F93),0)+IF(ISNUMBER(C94),C94,0)-IF(ISNUMBER(E94),E94,0))</f>
        <v/>
      </c>
      <c r="G94" s="11" t="str">
        <f>IF(A94="","",IF(IF(ISNUMBER(C94),C94,0)=0,IFERROR(LOOKUP(2,1/(A$4:A93=A94),G$4:G93),IF(ISNUMBER(D94),D94,"")),IF(IFERROR(LOOKUP(2,1/(A$4:A93=A94),F$4:F93),0)&lt;=0,D94,(MAX(0,IFERROR(LOOKUP(2,1/(A$4:A93=A94),F$4:F93),0))*IFERROR(LOOKUP(2,1/(A$4:A93=A94),G$4:G93),0)+C94*D94)/(MAX(0,IFERROR(LOOKUP(2,1/(A$4:A93=A94),F$4:F93),0))+C94))))</f>
        <v/>
      </c>
      <c r="I94" s="7"/>
    </row>
    <row r="95" spans="1:9" x14ac:dyDescent="0.4">
      <c r="A95" s="4"/>
      <c r="B95" s="5"/>
      <c r="C95" s="6"/>
      <c r="D95" s="7"/>
      <c r="E95" s="6"/>
      <c r="F95" s="6" t="str">
        <f>IF(A95="","",IFERROR(LOOKUP(2,1/(A$4:A94=A95),F$4:F94),0)+IF(ISNUMBER(C95),C95,0)-IF(ISNUMBER(E95),E95,0))</f>
        <v/>
      </c>
      <c r="G95" s="11" t="str">
        <f>IF(A95="","",IF(IF(ISNUMBER(C95),C95,0)=0,IFERROR(LOOKUP(2,1/(A$4:A94=A95),G$4:G94),IF(ISNUMBER(D95),D95,"")),IF(IFERROR(LOOKUP(2,1/(A$4:A94=A95),F$4:F94),0)&lt;=0,D95,(MAX(0,IFERROR(LOOKUP(2,1/(A$4:A94=A95),F$4:F94),0))*IFERROR(LOOKUP(2,1/(A$4:A94=A95),G$4:G94),0)+C95*D95)/(MAX(0,IFERROR(LOOKUP(2,1/(A$4:A94=A95),F$4:F94),0))+C95))))</f>
        <v/>
      </c>
      <c r="I95" s="7"/>
    </row>
    <row r="96" spans="1:9" x14ac:dyDescent="0.4">
      <c r="A96" s="4"/>
      <c r="B96" s="5"/>
      <c r="C96" s="6"/>
      <c r="D96" s="7"/>
      <c r="E96" s="6"/>
      <c r="F96" s="6" t="str">
        <f>IF(A96="","",IFERROR(LOOKUP(2,1/(A$4:A95=A96),F$4:F95),0)+IF(ISNUMBER(C96),C96,0)-IF(ISNUMBER(E96),E96,0))</f>
        <v/>
      </c>
      <c r="G96" s="11" t="str">
        <f>IF(A96="","",IF(IF(ISNUMBER(C96),C96,0)=0,IFERROR(LOOKUP(2,1/(A$4:A95=A96),G$4:G95),IF(ISNUMBER(D96),D96,"")),IF(IFERROR(LOOKUP(2,1/(A$4:A95=A96),F$4:F95),0)&lt;=0,D96,(MAX(0,IFERROR(LOOKUP(2,1/(A$4:A95=A96),F$4:F95),0))*IFERROR(LOOKUP(2,1/(A$4:A95=A96),G$4:G95),0)+C96*D96)/(MAX(0,IFERROR(LOOKUP(2,1/(A$4:A95=A96),F$4:F95),0))+C96))))</f>
        <v/>
      </c>
      <c r="I96" s="7"/>
    </row>
    <row r="97" spans="1:9" x14ac:dyDescent="0.4">
      <c r="A97" s="4"/>
      <c r="B97" s="5"/>
      <c r="C97" s="6"/>
      <c r="D97" s="7"/>
      <c r="E97" s="6"/>
      <c r="F97" s="6" t="str">
        <f>IF(A97="","",IFERROR(LOOKUP(2,1/(A$4:A96=A97),F$4:F96),0)+IF(ISNUMBER(C97),C97,0)-IF(ISNUMBER(E97),E97,0))</f>
        <v/>
      </c>
      <c r="G97" s="11" t="str">
        <f>IF(A97="","",IF(IF(ISNUMBER(C97),C97,0)=0,IFERROR(LOOKUP(2,1/(A$4:A96=A97),G$4:G96),IF(ISNUMBER(D97),D97,"")),IF(IFERROR(LOOKUP(2,1/(A$4:A96=A97),F$4:F96),0)&lt;=0,D97,(MAX(0,IFERROR(LOOKUP(2,1/(A$4:A96=A97),F$4:F96),0))*IFERROR(LOOKUP(2,1/(A$4:A96=A97),G$4:G96),0)+C97*D97)/(MAX(0,IFERROR(LOOKUP(2,1/(A$4:A96=A97),F$4:F96),0))+C97))))</f>
        <v/>
      </c>
      <c r="I97" s="7"/>
    </row>
    <row r="98" spans="1:9" x14ac:dyDescent="0.4">
      <c r="A98" s="4"/>
      <c r="B98" s="5"/>
      <c r="C98" s="6"/>
      <c r="D98" s="7"/>
      <c r="E98" s="6"/>
      <c r="F98" s="6" t="str">
        <f>IF(A98="","",IFERROR(LOOKUP(2,1/(A$4:A97=A98),F$4:F97),0)+IF(ISNUMBER(C98),C98,0)-IF(ISNUMBER(E98),E98,0))</f>
        <v/>
      </c>
      <c r="G98" s="11" t="str">
        <f>IF(A98="","",IF(IF(ISNUMBER(C98),C98,0)=0,IFERROR(LOOKUP(2,1/(A$4:A97=A98),G$4:G97),IF(ISNUMBER(D98),D98,"")),IF(IFERROR(LOOKUP(2,1/(A$4:A97=A98),F$4:F97),0)&lt;=0,D98,(MAX(0,IFERROR(LOOKUP(2,1/(A$4:A97=A98),F$4:F97),0))*IFERROR(LOOKUP(2,1/(A$4:A97=A98),G$4:G97),0)+C98*D98)/(MAX(0,IFERROR(LOOKUP(2,1/(A$4:A97=A98),F$4:F97),0))+C98))))</f>
        <v/>
      </c>
      <c r="I98" s="7"/>
    </row>
    <row r="99" spans="1:9" x14ac:dyDescent="0.4">
      <c r="A99" s="4"/>
      <c r="B99" s="5"/>
      <c r="C99" s="6"/>
      <c r="D99" s="7"/>
      <c r="E99" s="6"/>
      <c r="F99" s="6" t="str">
        <f>IF(A99="","",IFERROR(LOOKUP(2,1/(A$4:A98=A99),F$4:F98),0)+IF(ISNUMBER(C99),C99,0)-IF(ISNUMBER(E99),E99,0))</f>
        <v/>
      </c>
      <c r="G99" s="11" t="str">
        <f>IF(A99="","",IF(IF(ISNUMBER(C99),C99,0)=0,IFERROR(LOOKUP(2,1/(A$4:A98=A99),G$4:G98),IF(ISNUMBER(D99),D99,"")),IF(IFERROR(LOOKUP(2,1/(A$4:A98=A99),F$4:F98),0)&lt;=0,D99,(MAX(0,IFERROR(LOOKUP(2,1/(A$4:A98=A99),F$4:F98),0))*IFERROR(LOOKUP(2,1/(A$4:A98=A99),G$4:G98),0)+C99*D99)/(MAX(0,IFERROR(LOOKUP(2,1/(A$4:A98=A99),F$4:F98),0))+C99))))</f>
        <v/>
      </c>
      <c r="I99" s="7"/>
    </row>
    <row r="100" spans="1:9" x14ac:dyDescent="0.4">
      <c r="A100" s="8" t="s">
        <v>32</v>
      </c>
      <c r="B100" s="8"/>
      <c r="C100" s="9">
        <f>SUM(C4:C99)</f>
        <v>10417</v>
      </c>
      <c r="D100" s="10">
        <f>IF(SUM(C4:C99)=0,0,SUMPRODUCT(C4:C99,D4:D99)/SUM(C4:C99))</f>
        <v>39.000595180954214</v>
      </c>
      <c r="E100" s="9">
        <f>SUM(E4:E99)</f>
        <v>6553</v>
      </c>
      <c r="F100" s="9">
        <f>SUM(F4:F99)</f>
        <v>74453</v>
      </c>
      <c r="G100" s="9">
        <f>SUM(G4:G99)</f>
        <v>2461.5312922124958</v>
      </c>
      <c r="I100" s="7"/>
    </row>
  </sheetData>
  <sortState ref="A4:G81">
    <sortCondition ref="A4:A81"/>
    <sortCondition ref="B4:B81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모델_마스터!$B$14:$B$19</xm:f>
          </x14:formula1>
          <xm:sqref>A4:A99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모델_마스터</vt:lpstr>
      <vt:lpstr>MB</vt:lpstr>
      <vt:lpstr>SAP-600 MB</vt:lpstr>
      <vt:lpstr>Android MB</vt:lpstr>
      <vt:lpstr>DDR4</vt:lpstr>
      <vt:lpstr>SSD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SH-</cp:lastModifiedBy>
  <dcterms:created xsi:type="dcterms:W3CDTF">2026-08-11T22:45:14Z</dcterms:created>
  <dcterms:modified xsi:type="dcterms:W3CDTF">2026-08-12T07:05:50Z</dcterms:modified>
</cp:coreProperties>
</file>