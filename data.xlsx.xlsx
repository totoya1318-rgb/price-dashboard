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업무\Claude\"/>
    </mc:Choice>
  </mc:AlternateContent>
  <bookViews>
    <workbookView xWindow="0" yWindow="0" windowWidth="23040" windowHeight="9180" activeTab="1"/>
  </bookViews>
  <sheets>
    <sheet name="모델_마스터" sheetId="1" r:id="rId1"/>
    <sheet name="MB" sheetId="2" r:id="rId2"/>
    <sheet name="SAP-600 MB" sheetId="3" r:id="rId3"/>
    <sheet name="Android MB" sheetId="4" r:id="rId4"/>
    <sheet name="DDR4" sheetId="5" r:id="rId5"/>
    <sheet name="SSD" sheetId="6" r:id="rId6"/>
  </sheets>
  <calcPr calcId="152511"/>
</workbook>
</file>

<file path=xl/calcChain.xml><?xml version="1.0" encoding="utf-8"?>
<calcChain xmlns="http://schemas.openxmlformats.org/spreadsheetml/2006/main">
  <c r="E4" i="3" l="1"/>
  <c r="E80" i="2"/>
  <c r="F112" i="6"/>
  <c r="D112" i="6"/>
  <c r="C112" i="6"/>
  <c r="G111" i="6"/>
  <c r="E111" i="6"/>
  <c r="G110" i="6"/>
  <c r="E110" i="6"/>
  <c r="G109" i="6"/>
  <c r="E109" i="6"/>
  <c r="G108" i="6"/>
  <c r="E108" i="6"/>
  <c r="G107" i="6"/>
  <c r="E107" i="6"/>
  <c r="G106" i="6"/>
  <c r="E106" i="6"/>
  <c r="G105" i="6"/>
  <c r="E105" i="6"/>
  <c r="G104" i="6"/>
  <c r="E104" i="6"/>
  <c r="G103" i="6"/>
  <c r="E103" i="6"/>
  <c r="G102" i="6"/>
  <c r="E102" i="6"/>
  <c r="G101" i="6"/>
  <c r="E101" i="6"/>
  <c r="G100" i="6"/>
  <c r="E100" i="6"/>
  <c r="G99" i="6"/>
  <c r="E99" i="6"/>
  <c r="G98" i="6"/>
  <c r="E98" i="6"/>
  <c r="G97" i="6"/>
  <c r="E97" i="6"/>
  <c r="G96" i="6"/>
  <c r="E96" i="6"/>
  <c r="G95" i="6"/>
  <c r="E95" i="6"/>
  <c r="G94" i="6"/>
  <c r="E94" i="6"/>
  <c r="G93" i="6"/>
  <c r="E93" i="6"/>
  <c r="G92" i="6"/>
  <c r="E92" i="6"/>
  <c r="G91" i="6"/>
  <c r="E91" i="6"/>
  <c r="G90" i="6"/>
  <c r="E90" i="6"/>
  <c r="G89" i="6"/>
  <c r="E89" i="6"/>
  <c r="G88" i="6"/>
  <c r="E88" i="6"/>
  <c r="G87" i="6"/>
  <c r="E87" i="6"/>
  <c r="G86" i="6"/>
  <c r="E86" i="6"/>
  <c r="G85" i="6"/>
  <c r="E85" i="6"/>
  <c r="G84" i="6"/>
  <c r="E84" i="6"/>
  <c r="G83" i="6"/>
  <c r="E83" i="6"/>
  <c r="G82" i="6"/>
  <c r="E82" i="6"/>
  <c r="G81" i="6"/>
  <c r="E81" i="6"/>
  <c r="G80" i="6"/>
  <c r="E80" i="6"/>
  <c r="G79" i="6"/>
  <c r="E79" i="6"/>
  <c r="G78" i="6"/>
  <c r="E78" i="6"/>
  <c r="G77" i="6"/>
  <c r="E77" i="6"/>
  <c r="G76" i="6"/>
  <c r="E76" i="6"/>
  <c r="G75" i="6"/>
  <c r="E75" i="6"/>
  <c r="G74" i="6"/>
  <c r="E74" i="6"/>
  <c r="G73" i="6"/>
  <c r="E73" i="6"/>
  <c r="G72" i="6"/>
  <c r="E72" i="6"/>
  <c r="G71" i="6"/>
  <c r="E71" i="6"/>
  <c r="G70" i="6"/>
  <c r="E70" i="6"/>
  <c r="G69" i="6"/>
  <c r="E69" i="6"/>
  <c r="G68" i="6"/>
  <c r="E68" i="6"/>
  <c r="G67" i="6"/>
  <c r="E67" i="6"/>
  <c r="G66" i="6"/>
  <c r="E66" i="6"/>
  <c r="G65" i="6"/>
  <c r="E65" i="6"/>
  <c r="G64" i="6"/>
  <c r="E64" i="6"/>
  <c r="G63" i="6"/>
  <c r="E63" i="6"/>
  <c r="G62" i="6"/>
  <c r="E62" i="6"/>
  <c r="G61" i="6"/>
  <c r="E61" i="6"/>
  <c r="G60" i="6"/>
  <c r="E60" i="6"/>
  <c r="G59" i="6"/>
  <c r="E59" i="6"/>
  <c r="G58" i="6"/>
  <c r="E58" i="6"/>
  <c r="G57" i="6"/>
  <c r="E57" i="6"/>
  <c r="G56" i="6"/>
  <c r="E56" i="6"/>
  <c r="G55" i="6"/>
  <c r="E55" i="6"/>
  <c r="G54" i="6"/>
  <c r="E54" i="6"/>
  <c r="G53" i="6"/>
  <c r="E53" i="6"/>
  <c r="G52" i="6"/>
  <c r="E52" i="6"/>
  <c r="G51" i="6"/>
  <c r="E51" i="6"/>
  <c r="G50" i="6"/>
  <c r="E50" i="6"/>
  <c r="G49" i="6"/>
  <c r="E49" i="6"/>
  <c r="G48" i="6"/>
  <c r="E48" i="6"/>
  <c r="G47" i="6"/>
  <c r="E47" i="6"/>
  <c r="G46" i="6"/>
  <c r="E46" i="6"/>
  <c r="G45" i="6"/>
  <c r="E45" i="6"/>
  <c r="G44" i="6"/>
  <c r="E44" i="6"/>
  <c r="G43" i="6"/>
  <c r="E43" i="6"/>
  <c r="G42" i="6"/>
  <c r="E42" i="6"/>
  <c r="G41" i="6"/>
  <c r="E41" i="6"/>
  <c r="G40" i="6"/>
  <c r="E40" i="6"/>
  <c r="G39" i="6"/>
  <c r="E39" i="6"/>
  <c r="G38" i="6"/>
  <c r="E38" i="6"/>
  <c r="G37" i="6"/>
  <c r="E37" i="6"/>
  <c r="G36" i="6"/>
  <c r="E36" i="6"/>
  <c r="G35" i="6"/>
  <c r="E35" i="6"/>
  <c r="G34" i="6"/>
  <c r="E34" i="6"/>
  <c r="G33" i="6"/>
  <c r="E33" i="6"/>
  <c r="G32" i="6"/>
  <c r="E32" i="6"/>
  <c r="G31" i="6"/>
  <c r="E31" i="6"/>
  <c r="G30" i="6"/>
  <c r="E30" i="6"/>
  <c r="G29" i="6"/>
  <c r="E29" i="6"/>
  <c r="G28" i="6"/>
  <c r="E28" i="6"/>
  <c r="G27" i="6"/>
  <c r="E27" i="6"/>
  <c r="G26" i="6"/>
  <c r="E26" i="6"/>
  <c r="G25" i="6"/>
  <c r="E25" i="6"/>
  <c r="G24" i="6"/>
  <c r="E24" i="6"/>
  <c r="G23" i="6"/>
  <c r="E23" i="6"/>
  <c r="G22" i="6"/>
  <c r="E22" i="6"/>
  <c r="G21" i="6"/>
  <c r="E21" i="6"/>
  <c r="G20" i="6"/>
  <c r="E20" i="6"/>
  <c r="G19" i="6"/>
  <c r="E19" i="6"/>
  <c r="G18" i="6"/>
  <c r="E18" i="6"/>
  <c r="G17" i="6"/>
  <c r="E17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E10" i="6"/>
  <c r="G9" i="6"/>
  <c r="E9" i="6"/>
  <c r="G8" i="6"/>
  <c r="E8" i="6"/>
  <c r="G7" i="6"/>
  <c r="E7" i="6"/>
  <c r="G6" i="6"/>
  <c r="E6" i="6"/>
  <c r="G5" i="6"/>
  <c r="E5" i="6"/>
  <c r="G4" i="6"/>
  <c r="G112" i="6" s="1"/>
  <c r="E4" i="6"/>
  <c r="E112" i="6" s="1"/>
  <c r="F61" i="5"/>
  <c r="D61" i="5"/>
  <c r="C61" i="5"/>
  <c r="G60" i="5"/>
  <c r="E60" i="5"/>
  <c r="G59" i="5"/>
  <c r="E59" i="5"/>
  <c r="G58" i="5"/>
  <c r="E58" i="5"/>
  <c r="G57" i="5"/>
  <c r="E57" i="5"/>
  <c r="G56" i="5"/>
  <c r="E56" i="5"/>
  <c r="G55" i="5"/>
  <c r="E55" i="5"/>
  <c r="G54" i="5"/>
  <c r="E54" i="5"/>
  <c r="G53" i="5"/>
  <c r="E53" i="5"/>
  <c r="G52" i="5"/>
  <c r="E52" i="5"/>
  <c r="G51" i="5"/>
  <c r="E51" i="5"/>
  <c r="G50" i="5"/>
  <c r="E50" i="5"/>
  <c r="G49" i="5"/>
  <c r="E49" i="5"/>
  <c r="G48" i="5"/>
  <c r="E48" i="5"/>
  <c r="G47" i="5"/>
  <c r="E47" i="5"/>
  <c r="G46" i="5"/>
  <c r="E46" i="5"/>
  <c r="G45" i="5"/>
  <c r="E45" i="5"/>
  <c r="G44" i="5"/>
  <c r="E44" i="5"/>
  <c r="G43" i="5"/>
  <c r="E43" i="5"/>
  <c r="G42" i="5"/>
  <c r="E42" i="5"/>
  <c r="G41" i="5"/>
  <c r="E41" i="5"/>
  <c r="G40" i="5"/>
  <c r="E40" i="5"/>
  <c r="G39" i="5"/>
  <c r="E39" i="5"/>
  <c r="G38" i="5"/>
  <c r="E38" i="5"/>
  <c r="G37" i="5"/>
  <c r="E37" i="5"/>
  <c r="G36" i="5"/>
  <c r="E36" i="5"/>
  <c r="G35" i="5"/>
  <c r="E35" i="5"/>
  <c r="G34" i="5"/>
  <c r="E34" i="5"/>
  <c r="G33" i="5"/>
  <c r="E33" i="5"/>
  <c r="G32" i="5"/>
  <c r="E32" i="5"/>
  <c r="G31" i="5"/>
  <c r="E31" i="5"/>
  <c r="G30" i="5"/>
  <c r="E30" i="5"/>
  <c r="G29" i="5"/>
  <c r="E29" i="5"/>
  <c r="G28" i="5"/>
  <c r="E28" i="5"/>
  <c r="G27" i="5"/>
  <c r="E27" i="5"/>
  <c r="G26" i="5"/>
  <c r="E26" i="5"/>
  <c r="G25" i="5"/>
  <c r="E25" i="5"/>
  <c r="G24" i="5"/>
  <c r="E24" i="5"/>
  <c r="G23" i="5"/>
  <c r="E23" i="5"/>
  <c r="G22" i="5"/>
  <c r="E22" i="5"/>
  <c r="G21" i="5"/>
  <c r="E21" i="5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E5" i="5"/>
  <c r="G4" i="5"/>
  <c r="G61" i="5" s="1"/>
  <c r="E4" i="5"/>
  <c r="E61" i="5" s="1"/>
  <c r="F53" i="4"/>
  <c r="D53" i="4"/>
  <c r="C53" i="4"/>
  <c r="G52" i="4"/>
  <c r="E52" i="4"/>
  <c r="G51" i="4"/>
  <c r="E51" i="4"/>
  <c r="G50" i="4"/>
  <c r="E50" i="4"/>
  <c r="G49" i="4"/>
  <c r="E49" i="4"/>
  <c r="G48" i="4"/>
  <c r="E48" i="4"/>
  <c r="G47" i="4"/>
  <c r="E47" i="4"/>
  <c r="G46" i="4"/>
  <c r="E46" i="4"/>
  <c r="G45" i="4"/>
  <c r="E45" i="4"/>
  <c r="G44" i="4"/>
  <c r="E44" i="4"/>
  <c r="G43" i="4"/>
  <c r="E43" i="4"/>
  <c r="G42" i="4"/>
  <c r="E42" i="4"/>
  <c r="G41" i="4"/>
  <c r="E41" i="4"/>
  <c r="G40" i="4"/>
  <c r="E40" i="4"/>
  <c r="G39" i="4"/>
  <c r="E39" i="4"/>
  <c r="G38" i="4"/>
  <c r="E38" i="4"/>
  <c r="G37" i="4"/>
  <c r="E37" i="4"/>
  <c r="G36" i="4"/>
  <c r="E36" i="4"/>
  <c r="G35" i="4"/>
  <c r="E35" i="4"/>
  <c r="G34" i="4"/>
  <c r="E34" i="4"/>
  <c r="G33" i="4"/>
  <c r="E33" i="4"/>
  <c r="G32" i="4"/>
  <c r="E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G20" i="4"/>
  <c r="E20" i="4"/>
  <c r="G19" i="4"/>
  <c r="E19" i="4"/>
  <c r="G18" i="4"/>
  <c r="E18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4" i="4"/>
  <c r="G53" i="4" s="1"/>
  <c r="E4" i="4"/>
  <c r="E53" i="4" s="1"/>
  <c r="F42" i="3"/>
  <c r="D42" i="3"/>
  <c r="C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G42" i="3" s="1"/>
  <c r="F174" i="2"/>
  <c r="D174" i="2"/>
  <c r="C174" i="2"/>
  <c r="G173" i="2"/>
  <c r="E173" i="2"/>
  <c r="G172" i="2"/>
  <c r="E172" i="2"/>
  <c r="G171" i="2"/>
  <c r="E171" i="2"/>
  <c r="G170" i="2"/>
  <c r="E170" i="2"/>
  <c r="G169" i="2"/>
  <c r="E169" i="2"/>
  <c r="G168" i="2"/>
  <c r="E168" i="2"/>
  <c r="G167" i="2"/>
  <c r="E167" i="2"/>
  <c r="G166" i="2"/>
  <c r="E166" i="2"/>
  <c r="G165" i="2"/>
  <c r="E165" i="2"/>
  <c r="G164" i="2"/>
  <c r="E164" i="2"/>
  <c r="G163" i="2"/>
  <c r="E163" i="2"/>
  <c r="G162" i="2"/>
  <c r="E162" i="2"/>
  <c r="G161" i="2"/>
  <c r="E161" i="2"/>
  <c r="G160" i="2"/>
  <c r="E160" i="2"/>
  <c r="G159" i="2"/>
  <c r="E159" i="2"/>
  <c r="G158" i="2"/>
  <c r="E158" i="2"/>
  <c r="G157" i="2"/>
  <c r="E157" i="2"/>
  <c r="G156" i="2"/>
  <c r="E156" i="2"/>
  <c r="G155" i="2"/>
  <c r="E155" i="2"/>
  <c r="G154" i="2"/>
  <c r="E154" i="2"/>
  <c r="G153" i="2"/>
  <c r="E153" i="2"/>
  <c r="G152" i="2"/>
  <c r="E152" i="2"/>
  <c r="G151" i="2"/>
  <c r="E151" i="2"/>
  <c r="G150" i="2"/>
  <c r="E150" i="2"/>
  <c r="G149" i="2"/>
  <c r="E149" i="2"/>
  <c r="G148" i="2"/>
  <c r="E148" i="2"/>
  <c r="G147" i="2"/>
  <c r="E147" i="2"/>
  <c r="G146" i="2"/>
  <c r="E146" i="2"/>
  <c r="G145" i="2"/>
  <c r="E145" i="2"/>
  <c r="G144" i="2"/>
  <c r="E144" i="2"/>
  <c r="G143" i="2"/>
  <c r="E143" i="2"/>
  <c r="G142" i="2"/>
  <c r="E142" i="2"/>
  <c r="G141" i="2"/>
  <c r="E141" i="2"/>
  <c r="G140" i="2"/>
  <c r="E140" i="2"/>
  <c r="G139" i="2"/>
  <c r="E139" i="2"/>
  <c r="G138" i="2"/>
  <c r="E138" i="2"/>
  <c r="G137" i="2"/>
  <c r="E137" i="2"/>
  <c r="G136" i="2"/>
  <c r="E136" i="2"/>
  <c r="G135" i="2"/>
  <c r="E135" i="2"/>
  <c r="G134" i="2"/>
  <c r="E134" i="2"/>
  <c r="G133" i="2"/>
  <c r="E133" i="2"/>
  <c r="G132" i="2"/>
  <c r="E132" i="2"/>
  <c r="G131" i="2"/>
  <c r="E131" i="2"/>
  <c r="G130" i="2"/>
  <c r="E130" i="2"/>
  <c r="G129" i="2"/>
  <c r="E129" i="2"/>
  <c r="G128" i="2"/>
  <c r="E128" i="2"/>
  <c r="G127" i="2"/>
  <c r="E127" i="2"/>
  <c r="G126" i="2"/>
  <c r="E126" i="2"/>
  <c r="G125" i="2"/>
  <c r="E125" i="2"/>
  <c r="G124" i="2"/>
  <c r="E124" i="2"/>
  <c r="G123" i="2"/>
  <c r="E123" i="2"/>
  <c r="G122" i="2"/>
  <c r="E122" i="2"/>
  <c r="G121" i="2"/>
  <c r="E121" i="2"/>
  <c r="G120" i="2"/>
  <c r="E120" i="2"/>
  <c r="G119" i="2"/>
  <c r="E119" i="2"/>
  <c r="G118" i="2"/>
  <c r="E118" i="2"/>
  <c r="G117" i="2"/>
  <c r="E117" i="2"/>
  <c r="G116" i="2"/>
  <c r="E116" i="2"/>
  <c r="G115" i="2"/>
  <c r="E115" i="2"/>
  <c r="G114" i="2"/>
  <c r="E114" i="2"/>
  <c r="G113" i="2"/>
  <c r="E113" i="2"/>
  <c r="G112" i="2"/>
  <c r="E112" i="2"/>
  <c r="G111" i="2"/>
  <c r="E111" i="2"/>
  <c r="G110" i="2"/>
  <c r="E110" i="2"/>
  <c r="G109" i="2"/>
  <c r="E109" i="2"/>
  <c r="G108" i="2"/>
  <c r="E108" i="2"/>
  <c r="G107" i="2"/>
  <c r="E107" i="2"/>
  <c r="G106" i="2"/>
  <c r="E106" i="2"/>
  <c r="G105" i="2"/>
  <c r="E105" i="2"/>
  <c r="G104" i="2"/>
  <c r="E104" i="2"/>
  <c r="G103" i="2"/>
  <c r="E103" i="2"/>
  <c r="G102" i="2"/>
  <c r="E102" i="2"/>
  <c r="G101" i="2"/>
  <c r="E101" i="2"/>
  <c r="G100" i="2"/>
  <c r="E100" i="2"/>
  <c r="G99" i="2"/>
  <c r="E99" i="2"/>
  <c r="G98" i="2"/>
  <c r="E98" i="2"/>
  <c r="G97" i="2"/>
  <c r="E97" i="2"/>
  <c r="G96" i="2"/>
  <c r="E96" i="2"/>
  <c r="G95" i="2"/>
  <c r="E95" i="2"/>
  <c r="G94" i="2"/>
  <c r="E94" i="2"/>
  <c r="G93" i="2"/>
  <c r="E93" i="2"/>
  <c r="G92" i="2"/>
  <c r="E92" i="2"/>
  <c r="G91" i="2"/>
  <c r="E91" i="2"/>
  <c r="G90" i="2"/>
  <c r="E90" i="2"/>
  <c r="G89" i="2"/>
  <c r="E89" i="2"/>
  <c r="G88" i="2"/>
  <c r="E88" i="2"/>
  <c r="G87" i="2"/>
  <c r="E87" i="2"/>
  <c r="G86" i="2"/>
  <c r="E86" i="2"/>
  <c r="G85" i="2"/>
  <c r="E85" i="2"/>
  <c r="G84" i="2"/>
  <c r="E84" i="2"/>
  <c r="G83" i="2"/>
  <c r="E83" i="2"/>
  <c r="G82" i="2"/>
  <c r="E82" i="2"/>
  <c r="G81" i="2"/>
  <c r="E81" i="2"/>
  <c r="G80" i="2"/>
  <c r="G79" i="2"/>
  <c r="E79" i="2"/>
  <c r="G78" i="2"/>
  <c r="E78" i="2"/>
  <c r="G77" i="2"/>
  <c r="E77" i="2"/>
  <c r="G76" i="2"/>
  <c r="E76" i="2"/>
  <c r="G75" i="2"/>
  <c r="E75" i="2"/>
  <c r="G74" i="2"/>
  <c r="E74" i="2"/>
  <c r="G73" i="2"/>
  <c r="E73" i="2"/>
  <c r="G72" i="2"/>
  <c r="E72" i="2"/>
  <c r="G71" i="2"/>
  <c r="E71" i="2"/>
  <c r="G70" i="2"/>
  <c r="E70" i="2"/>
  <c r="G69" i="2"/>
  <c r="E69" i="2"/>
  <c r="G68" i="2"/>
  <c r="E68" i="2"/>
  <c r="G67" i="2"/>
  <c r="E67" i="2"/>
  <c r="G66" i="2"/>
  <c r="E66" i="2"/>
  <c r="G65" i="2"/>
  <c r="E65" i="2"/>
  <c r="G64" i="2"/>
  <c r="E64" i="2"/>
  <c r="G63" i="2"/>
  <c r="E63" i="2"/>
  <c r="G62" i="2"/>
  <c r="E62" i="2"/>
  <c r="G61" i="2"/>
  <c r="E61" i="2"/>
  <c r="G60" i="2"/>
  <c r="E60" i="2"/>
  <c r="G59" i="2"/>
  <c r="E59" i="2"/>
  <c r="G58" i="2"/>
  <c r="E58" i="2"/>
  <c r="G57" i="2"/>
  <c r="E57" i="2"/>
  <c r="G56" i="2"/>
  <c r="E56" i="2"/>
  <c r="G55" i="2"/>
  <c r="E55" i="2"/>
  <c r="G54" i="2"/>
  <c r="E54" i="2"/>
  <c r="G53" i="2"/>
  <c r="E53" i="2"/>
  <c r="G52" i="2"/>
  <c r="E52" i="2"/>
  <c r="G51" i="2"/>
  <c r="E51" i="2"/>
  <c r="G50" i="2"/>
  <c r="E50" i="2"/>
  <c r="G49" i="2"/>
  <c r="E49" i="2"/>
  <c r="G48" i="2"/>
  <c r="E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G174" i="2" s="1"/>
  <c r="E4" i="2"/>
  <c r="E42" i="3" l="1"/>
  <c r="E174" i="2"/>
</calcChain>
</file>

<file path=xl/sharedStrings.xml><?xml version="1.0" encoding="utf-8"?>
<sst xmlns="http://schemas.openxmlformats.org/spreadsheetml/2006/main" count="355" uniqueCount="39">
  <si>
    <t>시트구분</t>
  </si>
  <si>
    <t>모델명</t>
  </si>
  <si>
    <t>MB</t>
  </si>
  <si>
    <t>SAPH N95 DP (43D,48D)</t>
  </si>
  <si>
    <t>SAPH N97 DP (43A,48A)</t>
  </si>
  <si>
    <t>TITAN-S N95 VGA (47B)</t>
  </si>
  <si>
    <t>TITAN-S N97 VGA (47A)</t>
  </si>
  <si>
    <t>ASTRA N95 DP (43E,48E)</t>
  </si>
  <si>
    <t>ASTRA N97 DP (43B,48B)</t>
  </si>
  <si>
    <t>FORZA N95 (46A)</t>
  </si>
  <si>
    <t>FORZA 12세대 i5 (29D)</t>
  </si>
  <si>
    <t>SAP-600 MB</t>
  </si>
  <si>
    <t>JK49-10024B (보드 기준) N3160 Realbom</t>
  </si>
  <si>
    <t>Android MB</t>
  </si>
  <si>
    <t>JK49-10041A (보드 기준) SHC-R3399-4G64G with Samsung RAM/EMMC</t>
  </si>
  <si>
    <t>DDR4</t>
  </si>
  <si>
    <t>8GB</t>
  </si>
  <si>
    <t>4GB</t>
  </si>
  <si>
    <t>SSD</t>
  </si>
  <si>
    <t>128GB 2.5" SSD</t>
  </si>
  <si>
    <t>128GB m.2 SSD</t>
  </si>
  <si>
    <t>256GB 2.5" SSD</t>
  </si>
  <si>
    <t>256GB m.2 SSD</t>
  </si>
  <si>
    <t>512GB m.2 SSD</t>
  </si>
  <si>
    <t>128GB mSATA SSD</t>
  </si>
  <si>
    <t>MB 단가 변동 및 수량 HISTORY</t>
  </si>
  <si>
    <t>모델</t>
  </si>
  <si>
    <t>입고일자</t>
  </si>
  <si>
    <t>입고수량</t>
  </si>
  <si>
    <t>단가 ($)</t>
  </si>
  <si>
    <t>누적 평균단가 ($)</t>
  </si>
  <si>
    <t>사용수량</t>
  </si>
  <si>
    <t>재고수량</t>
  </si>
  <si>
    <t>합계 / 전체 평균</t>
  </si>
  <si>
    <t>SAP-600 MB 단가 변동 및 수량 HISTORY</t>
  </si>
  <si>
    <t>Android MB 단가 변동 및 수량 HISTORY</t>
  </si>
  <si>
    <t>DDR4 단가 변동 및 수량 HISTORY</t>
  </si>
  <si>
    <t>SSD 단가 변동 및 수량 HISTORY</t>
  </si>
  <si>
    <t>SAPH N97 DP (43A,48A)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</si>
</sst>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yyyy\-mm\-dd"/>
    <numFmt numFmtId="178" formatCode="\$#,##0.00"/>
  </numFmts>
  <fonts count="6" x14ac:knownFonts="1"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78" fontId="4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right" vertical="center"/>
    </xf>
    <xf numFmtId="178" fontId="1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6" sqref="B16"/>
    </sheetView>
  </sheetViews>
  <sheetFormatPr defaultRowHeight="17.399999999999999" x14ac:dyDescent="0.4"/>
  <cols>
    <col min="1" max="1" width="18" customWidth="1"/>
    <col min="2" max="2" width="6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2</v>
      </c>
      <c r="B3" t="s">
        <v>4</v>
      </c>
    </row>
    <row r="4" spans="1:2" x14ac:dyDescent="0.4">
      <c r="A4" t="s">
        <v>2</v>
      </c>
      <c r="B4" t="s">
        <v>5</v>
      </c>
    </row>
    <row r="5" spans="1:2" x14ac:dyDescent="0.4">
      <c r="A5" t="s">
        <v>2</v>
      </c>
      <c r="B5" t="s">
        <v>6</v>
      </c>
    </row>
    <row r="6" spans="1:2" x14ac:dyDescent="0.4">
      <c r="A6" t="s">
        <v>2</v>
      </c>
      <c r="B6" t="s">
        <v>7</v>
      </c>
    </row>
    <row r="7" spans="1:2" x14ac:dyDescent="0.4">
      <c r="A7" t="s">
        <v>2</v>
      </c>
      <c r="B7" t="s">
        <v>8</v>
      </c>
    </row>
    <row r="8" spans="1:2" x14ac:dyDescent="0.4">
      <c r="A8" t="s">
        <v>2</v>
      </c>
      <c r="B8" t="s">
        <v>9</v>
      </c>
    </row>
    <row r="9" spans="1:2" x14ac:dyDescent="0.4">
      <c r="A9" t="s">
        <v>2</v>
      </c>
      <c r="B9" t="s">
        <v>10</v>
      </c>
    </row>
    <row r="10" spans="1:2" x14ac:dyDescent="0.4">
      <c r="A10" t="s">
        <v>11</v>
      </c>
      <c r="B10" t="s">
        <v>12</v>
      </c>
    </row>
    <row r="11" spans="1:2" x14ac:dyDescent="0.4">
      <c r="A11" t="s">
        <v>13</v>
      </c>
      <c r="B11" t="s">
        <v>14</v>
      </c>
    </row>
    <row r="12" spans="1:2" x14ac:dyDescent="0.4">
      <c r="A12" t="s">
        <v>15</v>
      </c>
      <c r="B12" t="s">
        <v>16</v>
      </c>
    </row>
    <row r="13" spans="1:2" x14ac:dyDescent="0.4">
      <c r="A13" t="s">
        <v>15</v>
      </c>
      <c r="B13" t="s">
        <v>17</v>
      </c>
    </row>
    <row r="14" spans="1:2" x14ac:dyDescent="0.4">
      <c r="A14" t="s">
        <v>18</v>
      </c>
      <c r="B14" t="s">
        <v>19</v>
      </c>
    </row>
    <row r="15" spans="1:2" x14ac:dyDescent="0.4">
      <c r="A15" t="s">
        <v>18</v>
      </c>
      <c r="B15" t="s">
        <v>20</v>
      </c>
    </row>
    <row r="16" spans="1:2" x14ac:dyDescent="0.4">
      <c r="A16" t="s">
        <v>18</v>
      </c>
      <c r="B16" t="s">
        <v>21</v>
      </c>
    </row>
    <row r="17" spans="1:2" x14ac:dyDescent="0.4">
      <c r="A17" t="s">
        <v>18</v>
      </c>
      <c r="B17" t="s">
        <v>22</v>
      </c>
    </row>
    <row r="18" spans="1:2" x14ac:dyDescent="0.4">
      <c r="A18" t="s">
        <v>18</v>
      </c>
      <c r="B18" t="s">
        <v>23</v>
      </c>
    </row>
    <row r="19" spans="1:2" x14ac:dyDescent="0.4">
      <c r="A19" t="s">
        <v>18</v>
      </c>
      <c r="B19" t="s">
        <v>24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"/>
  <sheetViews>
    <sheetView tabSelected="1" workbookViewId="0">
      <pane ySplit="3" topLeftCell="A133" activePane="bottomLeft" state="frozen"/>
      <selection pane="bottomLeft" activeCell="A144" sqref="A144"/>
    </sheetView>
  </sheetViews>
  <sheetFormatPr defaultRowHeight="17.399999999999999" x14ac:dyDescent="0.4"/>
  <cols>
    <col min="1" max="1" width="32" customWidth="1"/>
    <col min="2" max="2" width="23" customWidth="1"/>
    <col min="3" max="4" width="18" customWidth="1"/>
    <col min="5" max="5" width="21" customWidth="1"/>
    <col min="6" max="7" width="18" customWidth="1"/>
  </cols>
  <sheetData>
    <row r="1" spans="1:7" ht="25.05" customHeight="1" x14ac:dyDescent="0.4">
      <c r="A1" s="2" t="s">
        <v>25</v>
      </c>
    </row>
    <row r="3" spans="1:7" ht="22.05" customHeight="1" x14ac:dyDescent="0.4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</row>
    <row r="4" spans="1:7" x14ac:dyDescent="0.4">
      <c r="A4" s="4" t="s">
        <v>3</v>
      </c>
      <c r="B4" s="5">
        <v>45931</v>
      </c>
      <c r="C4" s="6">
        <v>800</v>
      </c>
      <c r="D4" s="7">
        <v>75.900000000000006</v>
      </c>
      <c r="E4" s="7">
        <f>IF(OR(A4="",SUMIFS(C$4:C4,A$4:A4,A4)=0),"",SUMPRODUCT((A$4:A4=A4)*(C$4:C4)*(D$4:D4))/SUMIFS(C$4:C4,A$4:A4,A4))</f>
        <v>75.900000000000006</v>
      </c>
      <c r="F4" s="6">
        <v>650</v>
      </c>
      <c r="G4" s="6">
        <f t="shared" ref="G4:G35" si="0">IF(C4="","",C4-IF(ISNUMBER(F4),F4,0))</f>
        <v>150</v>
      </c>
    </row>
    <row r="5" spans="1:7" x14ac:dyDescent="0.4">
      <c r="A5" s="4" t="s">
        <v>3</v>
      </c>
      <c r="B5" s="5">
        <v>45962</v>
      </c>
      <c r="C5" s="6">
        <v>150</v>
      </c>
      <c r="D5" s="7">
        <v>75.900000000000006</v>
      </c>
      <c r="E5" s="7">
        <f>IF(OR(A5="",SUMIFS(C$4:C5,A$4:A5,A5)=0),"",SUMPRODUCT((A$4:A5=A5)*(C$4:C5)*(D$4:D5))/SUMIFS(C$4:C5,A$4:A5,A5))</f>
        <v>75.900000000000006</v>
      </c>
      <c r="F5" s="6">
        <v>150</v>
      </c>
      <c r="G5" s="6">
        <f t="shared" si="0"/>
        <v>0</v>
      </c>
    </row>
    <row r="6" spans="1:7" x14ac:dyDescent="0.4">
      <c r="A6" s="4" t="s">
        <v>3</v>
      </c>
      <c r="B6" s="5">
        <v>45992</v>
      </c>
      <c r="C6" s="6">
        <v>180</v>
      </c>
      <c r="D6" s="7">
        <v>83.31</v>
      </c>
      <c r="E6" s="7">
        <f>IF(OR(A6="",SUMIFS(C$4:C6,A$4:A6,A6)=0),"",SUMPRODUCT((A$4:A6=A6)*(C$4:C6)*(D$4:D6))/SUMIFS(C$4:C6,A$4:A6,A6))</f>
        <v>77.080353982300892</v>
      </c>
      <c r="F6" s="6">
        <v>180</v>
      </c>
      <c r="G6" s="6">
        <f t="shared" si="0"/>
        <v>0</v>
      </c>
    </row>
    <row r="7" spans="1:7" x14ac:dyDescent="0.4">
      <c r="A7" s="4" t="s">
        <v>3</v>
      </c>
      <c r="B7" s="5">
        <v>46023</v>
      </c>
      <c r="C7" s="6">
        <v>9</v>
      </c>
      <c r="D7" s="7">
        <v>92.21</v>
      </c>
      <c r="E7" s="7">
        <f>IF(OR(A7="",SUMIFS(C$4:C7,A$4:A7,A7)=0),"",SUMPRODUCT((A$4:A7=A7)*(C$4:C7)*(D$4:D7))/SUMIFS(C$4:C7,A$4:A7,A7))</f>
        <v>77.199903424056188</v>
      </c>
      <c r="F7" s="6">
        <v>9</v>
      </c>
      <c r="G7" s="6">
        <f t="shared" si="0"/>
        <v>0</v>
      </c>
    </row>
    <row r="8" spans="1:7" x14ac:dyDescent="0.4">
      <c r="A8" s="4" t="s">
        <v>3</v>
      </c>
      <c r="B8" s="5">
        <v>46054</v>
      </c>
      <c r="C8" s="6">
        <v>440</v>
      </c>
      <c r="D8" s="7">
        <v>92.9</v>
      </c>
      <c r="E8" s="7">
        <f>IF(OR(A8="",SUMIFS(C$4:C8,A$4:A8,A8)=0),"",SUMPRODUCT((A$4:A8=A8)*(C$4:C8)*(D$4:D8))/SUMIFS(C$4:C8,A$4:A8,A8))</f>
        <v>81.574851171627614</v>
      </c>
      <c r="F8" s="6">
        <v>440</v>
      </c>
      <c r="G8" s="6">
        <f t="shared" si="0"/>
        <v>0</v>
      </c>
    </row>
    <row r="9" spans="1:7" x14ac:dyDescent="0.4">
      <c r="A9" s="4" t="s">
        <v>3</v>
      </c>
      <c r="B9" s="5">
        <v>46082</v>
      </c>
      <c r="C9" s="6">
        <v>722</v>
      </c>
      <c r="D9" s="7">
        <v>92.9</v>
      </c>
      <c r="E9" s="7">
        <f>IF(OR(A9="",SUMIFS(C$4:C9,A$4:A9,A9)=0),"",SUMPRODUCT((A$4:A9=A9)*(C$4:C9)*(D$4:D9))/SUMIFS(C$4:C9,A$4:A9,A9))</f>
        <v>85.128418079096036</v>
      </c>
      <c r="F9" s="6">
        <v>722</v>
      </c>
      <c r="G9" s="6">
        <f t="shared" si="0"/>
        <v>0</v>
      </c>
    </row>
    <row r="10" spans="1:7" x14ac:dyDescent="0.4">
      <c r="A10" s="4" t="s">
        <v>3</v>
      </c>
      <c r="B10" s="5">
        <v>46113</v>
      </c>
      <c r="C10" s="6">
        <v>670</v>
      </c>
      <c r="D10" s="7">
        <v>102.19</v>
      </c>
      <c r="E10" s="7">
        <f>IF(OR(A10="",SUMIFS(C$4:C10,A$4:A10,A10)=0),"",SUMPRODUCT((A$4:A10=A10)*(C$4:C10)*(D$4:D10))/SUMIFS(C$4:C10,A$4:A10,A10))</f>
        <v>88.976031639178714</v>
      </c>
      <c r="F10" s="6">
        <v>502</v>
      </c>
      <c r="G10" s="6">
        <f t="shared" si="0"/>
        <v>168</v>
      </c>
    </row>
    <row r="11" spans="1:7" x14ac:dyDescent="0.4">
      <c r="A11" s="4" t="s">
        <v>3</v>
      </c>
      <c r="B11" s="5">
        <v>46143</v>
      </c>
      <c r="C11" s="6">
        <v>1168</v>
      </c>
      <c r="D11" s="7">
        <v>106.21</v>
      </c>
      <c r="E11" s="7">
        <f>IF(OR(A11="",SUMIFS(C$4:C11,A$4:A11,A11)=0),"",SUMPRODUCT((A$4:A11=A11)*(C$4:C11)*(D$4:D11))/SUMIFS(C$4:C11,A$4:A11,A11))</f>
        <v>93.839350084561474</v>
      </c>
      <c r="F11" s="6">
        <v>375</v>
      </c>
      <c r="G11" s="6">
        <f t="shared" si="0"/>
        <v>793</v>
      </c>
    </row>
    <row r="12" spans="1:7" x14ac:dyDescent="0.4">
      <c r="A12" s="4" t="s">
        <v>3</v>
      </c>
      <c r="B12" s="5">
        <v>46174</v>
      </c>
      <c r="C12" s="6">
        <v>793</v>
      </c>
      <c r="D12" s="7">
        <v>106.21</v>
      </c>
      <c r="E12" s="7">
        <f>IF(OR(A12="",SUMIFS(C$4:C12,A$4:A12,A12)=0),"",SUMPRODUCT((A$4:A12=A12)*(C$4:C12)*(D$4:D12))/SUMIFS(C$4:C12,A$4:A12,A12))</f>
        <v>95.828386050283854</v>
      </c>
      <c r="F12" s="6"/>
      <c r="G12" s="6">
        <f t="shared" si="0"/>
        <v>793</v>
      </c>
    </row>
    <row r="13" spans="1:7" x14ac:dyDescent="0.4">
      <c r="A13" s="4" t="s">
        <v>3</v>
      </c>
      <c r="B13" s="5">
        <v>46204</v>
      </c>
      <c r="C13" s="6">
        <v>1293</v>
      </c>
      <c r="D13" s="7">
        <v>100.87</v>
      </c>
      <c r="E13" s="7">
        <f>IF(OR(A13="",SUMIFS(C$4:C13,A$4:A13,A13)=0),"",SUMPRODUCT((A$4:A13=A13)*(C$4:C13)*(D$4:D13))/SUMIFS(C$4:C13,A$4:A13,A13))</f>
        <v>96.875583935742966</v>
      </c>
      <c r="F13" s="6">
        <v>560</v>
      </c>
      <c r="G13" s="6">
        <f t="shared" si="0"/>
        <v>733</v>
      </c>
    </row>
    <row r="14" spans="1:7" x14ac:dyDescent="0.4">
      <c r="A14" s="4" t="s">
        <v>3</v>
      </c>
      <c r="B14" s="5">
        <v>46235</v>
      </c>
      <c r="C14" s="6">
        <v>733</v>
      </c>
      <c r="D14" s="7">
        <v>100.87</v>
      </c>
      <c r="E14" s="7">
        <f>IF(OR(A14="",SUMIFS(C$4:C14,A$4:A14,A14)=0),"",SUMPRODUCT((A$4:A14=A14)*(C$4:C14)*(D$4:D14))/SUMIFS(C$4:C14,A$4:A14,A14))</f>
        <v>97.296381144006901</v>
      </c>
      <c r="F14" s="6">
        <v>618</v>
      </c>
      <c r="G14" s="6">
        <f t="shared" si="0"/>
        <v>115</v>
      </c>
    </row>
    <row r="15" spans="1:7" x14ac:dyDescent="0.4">
      <c r="A15" s="4" t="s">
        <v>3</v>
      </c>
      <c r="B15" s="5">
        <v>46266</v>
      </c>
      <c r="C15" s="6">
        <v>1171</v>
      </c>
      <c r="D15" s="7">
        <v>110.04</v>
      </c>
      <c r="E15" s="7">
        <f>IF(OR(A15="",SUMIFS(C$4:C15,A$4:A15,A15)=0),"",SUMPRODUCT((A$4:A15=A15)*(C$4:C15)*(D$4:D15))/SUMIFS(C$4:C15,A$4:A15,A15))</f>
        <v>99.132126952884732</v>
      </c>
      <c r="F15" s="6">
        <v>30</v>
      </c>
      <c r="G15" s="6">
        <f t="shared" si="0"/>
        <v>1141</v>
      </c>
    </row>
    <row r="16" spans="1:7" x14ac:dyDescent="0.4">
      <c r="A16" s="4" t="s">
        <v>3</v>
      </c>
      <c r="B16" s="5">
        <v>46296</v>
      </c>
      <c r="C16" s="6">
        <v>1585</v>
      </c>
      <c r="D16" s="7">
        <v>111.24</v>
      </c>
      <c r="E16" s="7">
        <f>IF(OR(A16="",SUMIFS(C$4:C16,A$4:A16,A16)=0),"",SUMPRODUCT((A$4:A16=A16)*(C$4:C16)*(D$4:D16))/SUMIFS(C$4:C16,A$4:A16,A16))</f>
        <v>101.10772699197035</v>
      </c>
      <c r="F16" s="6">
        <v>70</v>
      </c>
      <c r="G16" s="6">
        <f t="shared" si="0"/>
        <v>1515</v>
      </c>
    </row>
    <row r="17" spans="1:7" x14ac:dyDescent="0.4">
      <c r="A17" s="4" t="s">
        <v>3</v>
      </c>
      <c r="B17" s="5">
        <v>45962</v>
      </c>
      <c r="C17" s="6">
        <v>700</v>
      </c>
      <c r="D17" s="7">
        <v>84.9</v>
      </c>
      <c r="E17" s="7">
        <f>IF(OR(A17="",SUMIFS(C$4:C17,A$4:A17,A17)=0),"",SUMPRODUCT((A$4:A17=A17)*(C$4:C17)*(D$4:D17))/SUMIFS(C$4:C17,A$4:A17,A17))</f>
        <v>100.01828884194353</v>
      </c>
      <c r="F17" s="6">
        <v>520</v>
      </c>
      <c r="G17" s="6">
        <f t="shared" si="0"/>
        <v>180</v>
      </c>
    </row>
    <row r="18" spans="1:7" x14ac:dyDescent="0.4">
      <c r="A18" s="4" t="s">
        <v>3</v>
      </c>
      <c r="B18" s="5">
        <v>45992</v>
      </c>
      <c r="C18" s="6">
        <v>150</v>
      </c>
      <c r="D18" s="7">
        <v>93.9</v>
      </c>
      <c r="E18" s="7">
        <f>IF(OR(A18="",SUMIFS(C$4:C18,A$4:A18,A18)=0),"",SUMPRODUCT((A$4:A18=A18)*(C$4:C18)*(D$4:D18))/SUMIFS(C$4:C18,A$4:A18,A18))</f>
        <v>99.931414237031419</v>
      </c>
      <c r="F18" s="6">
        <v>150</v>
      </c>
      <c r="G18" s="6">
        <f t="shared" si="0"/>
        <v>0</v>
      </c>
    </row>
    <row r="19" spans="1:7" x14ac:dyDescent="0.4">
      <c r="A19" s="4" t="s">
        <v>3</v>
      </c>
      <c r="B19" s="5">
        <v>46023</v>
      </c>
      <c r="C19" s="6">
        <v>1350</v>
      </c>
      <c r="D19" s="7">
        <v>92.9</v>
      </c>
      <c r="E19" s="7">
        <f>IF(OR(A19="",SUMIFS(C$4:C19,A$4:A19,A19)=0),"",SUMPRODUCT((A$4:A19=A19)*(C$4:C19)*(D$4:D19))/SUMIFS(C$4:C19,A$4:A19,A19))</f>
        <v>99.134670135974474</v>
      </c>
      <c r="F19" s="6">
        <v>910</v>
      </c>
      <c r="G19" s="6">
        <f t="shared" si="0"/>
        <v>440</v>
      </c>
    </row>
    <row r="20" spans="1:7" x14ac:dyDescent="0.4">
      <c r="A20" s="4" t="s">
        <v>3</v>
      </c>
      <c r="B20" s="5">
        <v>46054</v>
      </c>
      <c r="C20" s="6">
        <v>1200</v>
      </c>
      <c r="D20" s="7">
        <v>92.9</v>
      </c>
      <c r="E20" s="7">
        <f>IF(OR(A20="",SUMIFS(C$4:C20,A$4:A20,A20)=0),"",SUMPRODUCT((A$4:A20=A20)*(C$4:C20)*(D$4:D20))/SUMIFS(C$4:C20,A$4:A20,A20))</f>
        <v>98.564165014488324</v>
      </c>
      <c r="F20" s="6">
        <v>478</v>
      </c>
      <c r="G20" s="6">
        <f t="shared" si="0"/>
        <v>722</v>
      </c>
    </row>
    <row r="21" spans="1:7" x14ac:dyDescent="0.4">
      <c r="A21" s="4" t="s">
        <v>3</v>
      </c>
      <c r="B21" s="5">
        <v>46082</v>
      </c>
      <c r="C21" s="6">
        <v>1000</v>
      </c>
      <c r="D21" s="7">
        <v>108.9</v>
      </c>
      <c r="E21" s="7">
        <f>IF(OR(A21="",SUMIFS(C$4:C21,A$4:A21,A21)=0),"",SUMPRODUCT((A$4:A21=A21)*(C$4:C21)*(D$4:D21))/SUMIFS(C$4:C21,A$4:A21,A21))</f>
        <v>99.296475839591892</v>
      </c>
      <c r="F21" s="6">
        <v>330</v>
      </c>
      <c r="G21" s="6">
        <f t="shared" si="0"/>
        <v>670</v>
      </c>
    </row>
    <row r="22" spans="1:7" x14ac:dyDescent="0.4">
      <c r="A22" s="4" t="s">
        <v>3</v>
      </c>
      <c r="B22" s="5">
        <v>46113</v>
      </c>
      <c r="C22" s="6">
        <v>1000</v>
      </c>
      <c r="D22" s="7">
        <v>108.9</v>
      </c>
      <c r="E22" s="7">
        <f>IF(OR(A22="",SUMIFS(C$4:C22,A$4:A22,A22)=0),"",SUMPRODUCT((A$4:A22=A22)*(C$4:C22)*(D$4:D22))/SUMIFS(C$4:C22,A$4:A22,A22))</f>
        <v>99.931881699086944</v>
      </c>
      <c r="F22" s="6"/>
      <c r="G22" s="6">
        <f t="shared" si="0"/>
        <v>1000</v>
      </c>
    </row>
    <row r="23" spans="1:7" x14ac:dyDescent="0.4">
      <c r="A23" s="4" t="s">
        <v>3</v>
      </c>
      <c r="B23" s="5">
        <v>46174</v>
      </c>
      <c r="C23" s="6">
        <v>500</v>
      </c>
      <c r="D23" s="7">
        <v>92.4</v>
      </c>
      <c r="E23" s="7">
        <f>IF(OR(A23="",SUMIFS(C$4:C23,A$4:A23,A23)=0),"",SUMPRODUCT((A$4:A23=A23)*(C$4:C23)*(D$4:D23))/SUMIFS(C$4:C23,A$4:A23,A23))</f>
        <v>99.690691686947602</v>
      </c>
      <c r="F23" s="6"/>
      <c r="G23" s="6">
        <f t="shared" si="0"/>
        <v>500</v>
      </c>
    </row>
    <row r="24" spans="1:7" x14ac:dyDescent="0.4">
      <c r="A24" s="4" t="s">
        <v>3</v>
      </c>
      <c r="B24" s="5">
        <v>46235</v>
      </c>
      <c r="C24" s="6">
        <v>1056</v>
      </c>
      <c r="D24" s="7">
        <v>116.4</v>
      </c>
      <c r="E24" s="7">
        <f>IF(OR(A24="",SUMIFS(C$4:C24,A$4:A24,A24)=0),"",SUMPRODUCT((A$4:A24=A24)*(C$4:C24)*(D$4:D24))/SUMIFS(C$4:C24,A$4:A24,A24))</f>
        <v>100.74918176364726</v>
      </c>
      <c r="F24" s="6"/>
      <c r="G24" s="6">
        <f t="shared" si="0"/>
        <v>1056</v>
      </c>
    </row>
    <row r="25" spans="1:7" x14ac:dyDescent="0.4">
      <c r="A25" s="4" t="s">
        <v>3</v>
      </c>
      <c r="B25" s="5">
        <v>46266</v>
      </c>
      <c r="C25" s="6">
        <v>444</v>
      </c>
      <c r="D25" s="7">
        <v>114.4</v>
      </c>
      <c r="E25" s="7">
        <f>IF(OR(A25="",SUMIFS(C$4:C25,A$4:A25,A25)=0),"",SUMPRODUCT((A$4:A25=A25)*(C$4:C25)*(D$4:D25))/SUMIFS(C$4:C25,A$4:A25,A25))</f>
        <v>101.10333411242257</v>
      </c>
      <c r="F25" s="6"/>
      <c r="G25" s="6">
        <f t="shared" si="0"/>
        <v>444</v>
      </c>
    </row>
    <row r="26" spans="1:7" x14ac:dyDescent="0.4">
      <c r="A26" s="4" t="s">
        <v>3</v>
      </c>
      <c r="B26" s="5">
        <v>45992</v>
      </c>
      <c r="C26" s="6">
        <v>500</v>
      </c>
      <c r="D26" s="7">
        <v>94.9</v>
      </c>
      <c r="E26" s="7">
        <f>IF(OR(A26="",SUMIFS(C$4:C26,A$4:A26,A26)=0),"",SUMPRODUCT((A$4:A26=A26)*(C$4:C26)*(D$4:D26))/SUMIFS(C$4:C26,A$4:A26,A26))</f>
        <v>100.9272431020779</v>
      </c>
      <c r="F26" s="6">
        <v>491</v>
      </c>
      <c r="G26" s="6">
        <f t="shared" si="0"/>
        <v>9</v>
      </c>
    </row>
    <row r="27" spans="1:7" x14ac:dyDescent="0.4">
      <c r="A27" s="4" t="s">
        <v>4</v>
      </c>
      <c r="B27" s="5">
        <v>45931</v>
      </c>
      <c r="C27" s="6">
        <v>32</v>
      </c>
      <c r="D27" s="7">
        <v>79.2</v>
      </c>
      <c r="E27" s="7">
        <f>IF(OR(A27="",SUMIFS(C$4:C27,A$4:A27,A27)=0),"",SUMPRODUCT((A$4:A27=A27)*(C$4:C27)*(D$4:D27))/SUMIFS(C$4:C27,A$4:A27,A27))</f>
        <v>79.2</v>
      </c>
      <c r="F27" s="6"/>
      <c r="G27" s="6">
        <f t="shared" si="0"/>
        <v>32</v>
      </c>
    </row>
    <row r="28" spans="1:7" x14ac:dyDescent="0.4">
      <c r="A28" s="4" t="s">
        <v>4</v>
      </c>
      <c r="B28" s="5">
        <v>45962</v>
      </c>
      <c r="C28" s="6">
        <v>32</v>
      </c>
      <c r="D28" s="7">
        <v>79.2</v>
      </c>
      <c r="E28" s="7">
        <f>IF(OR(A28="",SUMIFS(C$4:C28,A$4:A28,A28)=0),"",SUMPRODUCT((A$4:A28=A28)*(C$4:C28)*(D$4:D28))/SUMIFS(C$4:C28,A$4:A28,A28))</f>
        <v>79.2</v>
      </c>
      <c r="F28" s="6"/>
      <c r="G28" s="6">
        <f t="shared" si="0"/>
        <v>32</v>
      </c>
    </row>
    <row r="29" spans="1:7" x14ac:dyDescent="0.4">
      <c r="A29" s="4" t="s">
        <v>4</v>
      </c>
      <c r="B29" s="5">
        <v>45992</v>
      </c>
      <c r="C29" s="6">
        <v>32</v>
      </c>
      <c r="D29" s="7">
        <v>79.2</v>
      </c>
      <c r="E29" s="7">
        <f>IF(OR(A29="",SUMIFS(C$4:C29,A$4:A29,A29)=0),"",SUMPRODUCT((A$4:A29=A29)*(C$4:C29)*(D$4:D29))/SUMIFS(C$4:C29,A$4:A29,A29))</f>
        <v>79.2</v>
      </c>
      <c r="F29" s="6"/>
      <c r="G29" s="6">
        <f t="shared" si="0"/>
        <v>32</v>
      </c>
    </row>
    <row r="30" spans="1:7" x14ac:dyDescent="0.4">
      <c r="A30" s="4" t="s">
        <v>4</v>
      </c>
      <c r="B30" s="5">
        <v>46023</v>
      </c>
      <c r="C30" s="6">
        <v>32</v>
      </c>
      <c r="D30" s="7">
        <v>79.2</v>
      </c>
      <c r="E30" s="7">
        <f>IF(OR(A30="",SUMIFS(C$4:C30,A$4:A30,A30)=0),"",SUMPRODUCT((A$4:A30=A30)*(C$4:C30)*(D$4:D30))/SUMIFS(C$4:C30,A$4:A30,A30))</f>
        <v>79.2</v>
      </c>
      <c r="F30" s="6"/>
      <c r="G30" s="6">
        <f t="shared" si="0"/>
        <v>32</v>
      </c>
    </row>
    <row r="31" spans="1:7" x14ac:dyDescent="0.4">
      <c r="A31" s="4" t="s">
        <v>4</v>
      </c>
      <c r="B31" s="5">
        <v>46054</v>
      </c>
      <c r="C31" s="6">
        <v>32</v>
      </c>
      <c r="D31" s="7">
        <v>79.2</v>
      </c>
      <c r="E31" s="7">
        <f>IF(OR(A31="",SUMIFS(C$4:C31,A$4:A31,A31)=0),"",SUMPRODUCT((A$4:A31=A31)*(C$4:C31)*(D$4:D31))/SUMIFS(C$4:C31,A$4:A31,A31))</f>
        <v>79.2</v>
      </c>
      <c r="F31" s="6"/>
      <c r="G31" s="6">
        <f t="shared" si="0"/>
        <v>32</v>
      </c>
    </row>
    <row r="32" spans="1:7" x14ac:dyDescent="0.4">
      <c r="A32" s="4" t="s">
        <v>4</v>
      </c>
      <c r="B32" s="5">
        <v>46082</v>
      </c>
      <c r="C32" s="6">
        <v>32</v>
      </c>
      <c r="D32" s="7">
        <v>79.2</v>
      </c>
      <c r="E32" s="7">
        <f>IF(OR(A32="",SUMIFS(C$4:C32,A$4:A32,A32)=0),"",SUMPRODUCT((A$4:A32=A32)*(C$4:C32)*(D$4:D32))/SUMIFS(C$4:C32,A$4:A32,A32))</f>
        <v>79.2</v>
      </c>
      <c r="F32" s="6"/>
      <c r="G32" s="6">
        <f t="shared" si="0"/>
        <v>32</v>
      </c>
    </row>
    <row r="33" spans="1:7" x14ac:dyDescent="0.4">
      <c r="A33" s="4" t="s">
        <v>4</v>
      </c>
      <c r="B33" s="5">
        <v>46113</v>
      </c>
      <c r="C33" s="6">
        <v>32</v>
      </c>
      <c r="D33" s="7">
        <v>79.2</v>
      </c>
      <c r="E33" s="7">
        <f>IF(OR(A33="",SUMIFS(C$4:C33,A$4:A33,A33)=0),"",SUMPRODUCT((A$4:A33=A33)*(C$4:C33)*(D$4:D33))/SUMIFS(C$4:C33,A$4:A33,A33))</f>
        <v>79.2</v>
      </c>
      <c r="F33" s="6">
        <v>20</v>
      </c>
      <c r="G33" s="6">
        <f t="shared" si="0"/>
        <v>12</v>
      </c>
    </row>
    <row r="34" spans="1:7" x14ac:dyDescent="0.4">
      <c r="A34" s="4" t="s">
        <v>4</v>
      </c>
      <c r="B34" s="5">
        <v>46143</v>
      </c>
      <c r="C34" s="6">
        <v>12</v>
      </c>
      <c r="D34" s="7">
        <v>79.2</v>
      </c>
      <c r="E34" s="7">
        <f>IF(OR(A34="",SUMIFS(C$4:C34,A$4:A34,A34)=0),"",SUMPRODUCT((A$4:A34=A34)*(C$4:C34)*(D$4:D34))/SUMIFS(C$4:C34,A$4:A34,A34))</f>
        <v>79.2</v>
      </c>
      <c r="F34" s="6">
        <v>12</v>
      </c>
      <c r="G34" s="6">
        <f t="shared" si="0"/>
        <v>0</v>
      </c>
    </row>
    <row r="35" spans="1:7" x14ac:dyDescent="0.4">
      <c r="A35" s="4" t="s">
        <v>4</v>
      </c>
      <c r="B35" s="5">
        <v>46174</v>
      </c>
      <c r="C35" s="6">
        <v>592</v>
      </c>
      <c r="D35" s="7">
        <v>91.65</v>
      </c>
      <c r="E35" s="7">
        <f>IF(OR(A35="",SUMIFS(C$4:C35,A$4:A35,A35)=0),"",SUMPRODUCT((A$4:A35=A35)*(C$4:C35)*(D$4:D35))/SUMIFS(C$4:C35,A$4:A35,A35))</f>
        <v>88.101449275362313</v>
      </c>
      <c r="F35" s="6">
        <v>592</v>
      </c>
      <c r="G35" s="6">
        <f t="shared" si="0"/>
        <v>0</v>
      </c>
    </row>
    <row r="36" spans="1:7" x14ac:dyDescent="0.4">
      <c r="A36" s="4" t="s">
        <v>4</v>
      </c>
      <c r="B36" s="5">
        <v>46204</v>
      </c>
      <c r="C36" s="6">
        <v>887</v>
      </c>
      <c r="D36" s="7">
        <v>93.67</v>
      </c>
      <c r="E36" s="7">
        <f>IF(OR(A36="",SUMIFS(C$4:C36,A$4:A36,A36)=0),"",SUMPRODUCT((A$4:A36=A36)*(C$4:C36)*(D$4:D36))/SUMIFS(C$4:C36,A$4:A36,A36))</f>
        <v>90.981510204081644</v>
      </c>
      <c r="F36" s="6">
        <v>190</v>
      </c>
      <c r="G36" s="6">
        <f t="shared" ref="G36:G67" si="1">IF(C36="","",C36-IF(ISNUMBER(F36),F36,0))</f>
        <v>697</v>
      </c>
    </row>
    <row r="37" spans="1:7" x14ac:dyDescent="0.4">
      <c r="A37" s="4" t="s">
        <v>4</v>
      </c>
      <c r="B37" s="5">
        <v>46235</v>
      </c>
      <c r="C37" s="6">
        <v>697</v>
      </c>
      <c r="D37" s="7">
        <v>93.67</v>
      </c>
      <c r="E37" s="7">
        <f>IF(OR(A37="",SUMIFS(C$4:C37,A$4:A37,A37)=0),"",SUMPRODUCT((A$4:A37=A37)*(C$4:C37)*(D$4:D37))/SUMIFS(C$4:C37,A$4:A37,A37))</f>
        <v>91.758407960199008</v>
      </c>
      <c r="F37" s="6">
        <v>366</v>
      </c>
      <c r="G37" s="6">
        <f t="shared" si="1"/>
        <v>331</v>
      </c>
    </row>
    <row r="38" spans="1:7" x14ac:dyDescent="0.4">
      <c r="A38" s="4" t="s">
        <v>4</v>
      </c>
      <c r="B38" s="5">
        <v>46266</v>
      </c>
      <c r="C38" s="6">
        <v>331</v>
      </c>
      <c r="D38" s="7">
        <v>93.67</v>
      </c>
      <c r="E38" s="7">
        <f>IF(OR(A38="",SUMIFS(C$4:C38,A$4:A38,A38)=0),"",SUMPRODUCT((A$4:A38=A38)*(C$4:C38)*(D$4:D38))/SUMIFS(C$4:C38,A$4:A38,A38))</f>
        <v>91.989081297849069</v>
      </c>
      <c r="F38" s="6">
        <v>570</v>
      </c>
      <c r="G38" s="6">
        <f t="shared" si="1"/>
        <v>-239</v>
      </c>
    </row>
    <row r="39" spans="1:7" x14ac:dyDescent="0.4">
      <c r="A39" s="4" t="s">
        <v>4</v>
      </c>
      <c r="B39" s="5">
        <v>46296</v>
      </c>
      <c r="C39" s="6">
        <v>-239</v>
      </c>
      <c r="D39" s="7">
        <v>93.67</v>
      </c>
      <c r="E39" s="7">
        <f>IF(OR(A39="",SUMIFS(C$4:C39,A$4:A39,A39)=0),"",SUMPRODUCT((A$4:A39=A39)*(C$4:C39)*(D$4:D39))/SUMIFS(C$4:C39,A$4:A39,A39))</f>
        <v>91.828642172523956</v>
      </c>
      <c r="F39" s="6">
        <v>580</v>
      </c>
      <c r="G39" s="6">
        <f t="shared" si="1"/>
        <v>-819</v>
      </c>
    </row>
    <row r="40" spans="1:7" x14ac:dyDescent="0.4">
      <c r="A40" s="4" t="s">
        <v>4</v>
      </c>
      <c r="B40" s="5">
        <v>46054</v>
      </c>
      <c r="C40" s="6"/>
      <c r="D40" s="7"/>
      <c r="E40" s="7">
        <f>IF(OR(A40="",SUMIFS(C$4:C40,A$4:A40,A40)=0),"",SUMPRODUCT((A$4:A40=A40)*(C$4:C40)*(D$4:D40))/SUMIFS(C$4:C40,A$4:A40,A40))</f>
        <v>91.828642172523956</v>
      </c>
      <c r="F40" s="6"/>
      <c r="G40" s="6" t="str">
        <f t="shared" si="1"/>
        <v/>
      </c>
    </row>
    <row r="41" spans="1:7" x14ac:dyDescent="0.4">
      <c r="A41" s="4" t="s">
        <v>4</v>
      </c>
      <c r="B41" s="5">
        <v>46143</v>
      </c>
      <c r="C41" s="6">
        <v>1000</v>
      </c>
      <c r="D41" s="7">
        <v>91.8</v>
      </c>
      <c r="E41" s="7">
        <f>IF(OR(A41="",SUMIFS(C$4:C41,A$4:A41,A41)=0),"",SUMPRODUCT((A$4:A41=A41)*(C$4:C41)*(D$4:D41))/SUMIFS(C$4:C41,A$4:A41,A41))</f>
        <v>91.820468036529675</v>
      </c>
      <c r="F41" s="6">
        <v>408</v>
      </c>
      <c r="G41" s="6">
        <f t="shared" si="1"/>
        <v>592</v>
      </c>
    </row>
    <row r="42" spans="1:7" x14ac:dyDescent="0.4">
      <c r="A42" s="4" t="s">
        <v>4</v>
      </c>
      <c r="B42" s="5">
        <v>46174</v>
      </c>
      <c r="C42" s="6">
        <v>1000</v>
      </c>
      <c r="D42" s="7">
        <v>94.9</v>
      </c>
      <c r="E42" s="7">
        <f>IF(OR(A42="",SUMIFS(C$4:C42,A$4:A42,A42)=0),"",SUMPRODUCT((A$4:A42=A42)*(C$4:C42)*(D$4:D42))/SUMIFS(C$4:C42,A$4:A42,A42))</f>
        <v>92.504200710479566</v>
      </c>
      <c r="F42" s="6">
        <v>133</v>
      </c>
      <c r="G42" s="6">
        <f t="shared" si="1"/>
        <v>867</v>
      </c>
    </row>
    <row r="43" spans="1:7" x14ac:dyDescent="0.4">
      <c r="A43" s="4" t="s">
        <v>38</v>
      </c>
      <c r="B43" s="5">
        <v>46174</v>
      </c>
      <c r="C43" s="6">
        <v>20</v>
      </c>
      <c r="D43" s="7">
        <v>91.8</v>
      </c>
      <c r="E43" s="7">
        <f>IF(OR(A43="",SUMIFS(C$4:C43,A$4:A43,A43)=0),"",SUMPRODUCT((A$4:A43=A43)*(C$4:C43)*(D$4:D43))/SUMIFS(C$4:C43,A$4:A43,A43))</f>
        <v>92.501087533156493</v>
      </c>
      <c r="F43" s="6"/>
      <c r="G43" s="6">
        <f t="shared" si="1"/>
        <v>20</v>
      </c>
    </row>
    <row r="44" spans="1:7" x14ac:dyDescent="0.4">
      <c r="A44" s="4" t="s">
        <v>5</v>
      </c>
      <c r="B44" s="5">
        <v>45931</v>
      </c>
      <c r="C44" s="6">
        <v>200</v>
      </c>
      <c r="D44" s="7">
        <v>77.2</v>
      </c>
      <c r="E44" s="7">
        <f>IF(OR(A44="",SUMIFS(C$4:C44,A$4:A44,A44)=0),"",SUMPRODUCT((A$4:A44=A44)*(C$4:C44)*(D$4:D44))/SUMIFS(C$4:C44,A$4:A44,A44))</f>
        <v>77.2</v>
      </c>
      <c r="F44" s="6">
        <v>6</v>
      </c>
      <c r="G44" s="6">
        <f t="shared" si="1"/>
        <v>194</v>
      </c>
    </row>
    <row r="45" spans="1:7" x14ac:dyDescent="0.4">
      <c r="A45" s="4" t="s">
        <v>5</v>
      </c>
      <c r="B45" s="5">
        <v>45962</v>
      </c>
      <c r="C45" s="6">
        <v>194</v>
      </c>
      <c r="D45" s="7">
        <v>77.2</v>
      </c>
      <c r="E45" s="7">
        <f>IF(OR(A45="",SUMIFS(C$4:C45,A$4:A45,A45)=0),"",SUMPRODUCT((A$4:A45=A45)*(C$4:C45)*(D$4:D45))/SUMIFS(C$4:C45,A$4:A45,A45))</f>
        <v>77.2</v>
      </c>
      <c r="F45" s="6">
        <v>194</v>
      </c>
      <c r="G45" s="6">
        <f t="shared" si="1"/>
        <v>0</v>
      </c>
    </row>
    <row r="46" spans="1:7" x14ac:dyDescent="0.4">
      <c r="A46" s="4" t="s">
        <v>5</v>
      </c>
      <c r="B46" s="5">
        <v>45992</v>
      </c>
      <c r="C46" s="6">
        <v>9</v>
      </c>
      <c r="D46" s="7">
        <v>82.67</v>
      </c>
      <c r="E46" s="7">
        <f>IF(OR(A46="",SUMIFS(C$4:C46,A$4:A46,A46)=0),"",SUMPRODUCT((A$4:A46=A46)*(C$4:C46)*(D$4:D46))/SUMIFS(C$4:C46,A$4:A46,A46))</f>
        <v>77.322158808933011</v>
      </c>
      <c r="F46" s="6">
        <v>9</v>
      </c>
      <c r="G46" s="6">
        <f t="shared" si="1"/>
        <v>0</v>
      </c>
    </row>
    <row r="47" spans="1:7" x14ac:dyDescent="0.4">
      <c r="A47" s="4" t="s">
        <v>5</v>
      </c>
      <c r="B47" s="5">
        <v>46023</v>
      </c>
      <c r="C47" s="6">
        <v>72</v>
      </c>
      <c r="D47" s="7">
        <v>94.81</v>
      </c>
      <c r="E47" s="7">
        <f>IF(OR(A47="",SUMIFS(C$4:C47,A$4:A47,A47)=0),"",SUMPRODUCT((A$4:A47=A47)*(C$4:C47)*(D$4:D47))/SUMIFS(C$4:C47,A$4:A47,A47))</f>
        <v>79.97294736842106</v>
      </c>
      <c r="F47" s="6">
        <v>72</v>
      </c>
      <c r="G47" s="6">
        <f t="shared" si="1"/>
        <v>0</v>
      </c>
    </row>
    <row r="48" spans="1:7" x14ac:dyDescent="0.4">
      <c r="A48" s="4" t="s">
        <v>5</v>
      </c>
      <c r="B48" s="5">
        <v>46054</v>
      </c>
      <c r="C48" s="6">
        <v>478</v>
      </c>
      <c r="D48" s="7">
        <v>94.28</v>
      </c>
      <c r="E48" s="7">
        <f>IF(OR(A48="",SUMIFS(C$4:C48,A$4:A48,A48)=0),"",SUMPRODUCT((A$4:A48=A48)*(C$4:C48)*(D$4:D48))/SUMIFS(C$4:C48,A$4:A48,A48))</f>
        <v>87.148992654774403</v>
      </c>
      <c r="F48" s="6">
        <v>319</v>
      </c>
      <c r="G48" s="6">
        <f t="shared" si="1"/>
        <v>159</v>
      </c>
    </row>
    <row r="49" spans="1:7" x14ac:dyDescent="0.4">
      <c r="A49" s="4" t="s">
        <v>5</v>
      </c>
      <c r="B49" s="5">
        <v>46082</v>
      </c>
      <c r="C49" s="6">
        <v>475</v>
      </c>
      <c r="D49" s="7">
        <v>94.25</v>
      </c>
      <c r="E49" s="7">
        <f>IF(OR(A49="",SUMIFS(C$4:C49,A$4:A49,A49)=0),"",SUMPRODUCT((A$4:A49=A49)*(C$4:C49)*(D$4:D49))/SUMIFS(C$4:C49,A$4:A49,A49))</f>
        <v>89.511022408963584</v>
      </c>
      <c r="F49" s="6">
        <v>453</v>
      </c>
      <c r="G49" s="6">
        <f t="shared" si="1"/>
        <v>22</v>
      </c>
    </row>
    <row r="50" spans="1:7" x14ac:dyDescent="0.4">
      <c r="A50" s="4" t="s">
        <v>5</v>
      </c>
      <c r="B50" s="5">
        <v>46113</v>
      </c>
      <c r="C50" s="6">
        <v>22</v>
      </c>
      <c r="D50" s="7">
        <v>94.25</v>
      </c>
      <c r="E50" s="7">
        <f>IF(OR(A50="",SUMIFS(C$4:C50,A$4:A50,A50)=0),"",SUMPRODUCT((A$4:A50=A50)*(C$4:C50)*(D$4:D50))/SUMIFS(C$4:C50,A$4:A50,A50))</f>
        <v>89.582924137931045</v>
      </c>
      <c r="F50" s="6">
        <v>22</v>
      </c>
      <c r="G50" s="6">
        <f t="shared" si="1"/>
        <v>0</v>
      </c>
    </row>
    <row r="51" spans="1:7" x14ac:dyDescent="0.4">
      <c r="A51" s="4" t="s">
        <v>5</v>
      </c>
      <c r="B51" s="5">
        <v>46143</v>
      </c>
      <c r="C51" s="6">
        <v>5</v>
      </c>
      <c r="D51" s="7">
        <v>110.11</v>
      </c>
      <c r="E51" s="7">
        <f>IF(OR(A51="",SUMIFS(C$4:C51,A$4:A51,A51)=0),"",SUMPRODUCT((A$4:A51=A51)*(C$4:C51)*(D$4:D51))/SUMIFS(C$4:C51,A$4:A51,A51))</f>
        <v>89.653463917525784</v>
      </c>
      <c r="F51" s="6">
        <v>5</v>
      </c>
      <c r="G51" s="6">
        <f t="shared" si="1"/>
        <v>0</v>
      </c>
    </row>
    <row r="52" spans="1:7" x14ac:dyDescent="0.4">
      <c r="A52" s="4" t="s">
        <v>5</v>
      </c>
      <c r="B52" s="5">
        <v>46174</v>
      </c>
      <c r="C52" s="6"/>
      <c r="D52" s="7">
        <v>110.11</v>
      </c>
      <c r="E52" s="7">
        <f>IF(OR(A52="",SUMIFS(C$4:C52,A$4:A52,A52)=0),"",SUMPRODUCT((A$4:A52=A52)*(C$4:C52)*(D$4:D52))/SUMIFS(C$4:C52,A$4:A52,A52))</f>
        <v>89.653463917525784</v>
      </c>
      <c r="F52" s="6"/>
      <c r="G52" s="6" t="str">
        <f t="shared" si="1"/>
        <v/>
      </c>
    </row>
    <row r="53" spans="1:7" x14ac:dyDescent="0.4">
      <c r="A53" s="4" t="s">
        <v>5</v>
      </c>
      <c r="B53" s="5">
        <v>46204</v>
      </c>
      <c r="C53" s="6">
        <v>500</v>
      </c>
      <c r="D53" s="7">
        <v>93.8</v>
      </c>
      <c r="E53" s="7">
        <f>IF(OR(A53="",SUMIFS(C$4:C53,A$4:A53,A53)=0),"",SUMPRODUCT((A$4:A53=A53)*(C$4:C53)*(D$4:D53))/SUMIFS(C$4:C53,A$4:A53,A53))</f>
        <v>90.713959079283896</v>
      </c>
      <c r="F53" s="6">
        <v>35</v>
      </c>
      <c r="G53" s="6">
        <f t="shared" si="1"/>
        <v>465</v>
      </c>
    </row>
    <row r="54" spans="1:7" x14ac:dyDescent="0.4">
      <c r="A54" s="4" t="s">
        <v>5</v>
      </c>
      <c r="B54" s="5">
        <v>46235</v>
      </c>
      <c r="C54" s="6">
        <v>465</v>
      </c>
      <c r="D54" s="7">
        <v>93.8</v>
      </c>
      <c r="E54" s="7">
        <f>IF(OR(A54="",SUMIFS(C$4:C54,A$4:A54,A54)=0),"",SUMPRODUCT((A$4:A54=A54)*(C$4:C54)*(D$4:D54))/SUMIFS(C$4:C54,A$4:A54,A54))</f>
        <v>91.306938016528932</v>
      </c>
      <c r="F54" s="6">
        <v>312</v>
      </c>
      <c r="G54" s="6">
        <f t="shared" si="1"/>
        <v>153</v>
      </c>
    </row>
    <row r="55" spans="1:7" x14ac:dyDescent="0.4">
      <c r="A55" s="4" t="s">
        <v>5</v>
      </c>
      <c r="B55" s="5">
        <v>46266</v>
      </c>
      <c r="C55" s="6">
        <v>653</v>
      </c>
      <c r="D55" s="7">
        <v>106.24</v>
      </c>
      <c r="E55" s="7">
        <f>IF(OR(A55="",SUMIFS(C$4:C55,A$4:A55,A55)=0),"",SUMPRODUCT((A$4:A55=A55)*(C$4:C55)*(D$4:D55))/SUMIFS(C$4:C55,A$4:A55,A55))</f>
        <v>94.480152945004889</v>
      </c>
      <c r="F55" s="6">
        <v>20</v>
      </c>
      <c r="G55" s="6">
        <f t="shared" si="1"/>
        <v>633</v>
      </c>
    </row>
    <row r="56" spans="1:7" x14ac:dyDescent="0.4">
      <c r="A56" s="4" t="s">
        <v>5</v>
      </c>
      <c r="B56" s="5">
        <v>46296</v>
      </c>
      <c r="C56" s="6">
        <v>933</v>
      </c>
      <c r="D56" s="7">
        <v>109.75</v>
      </c>
      <c r="E56" s="7">
        <f>IF(OR(A56="",SUMIFS(C$4:C56,A$4:A56,A56)=0),"",SUMPRODUCT((A$4:A56=A56)*(C$4:C56)*(D$4:D56))/SUMIFS(C$4:C56,A$4:A56,A56))</f>
        <v>98.036510234648034</v>
      </c>
      <c r="F56" s="6">
        <v>105</v>
      </c>
      <c r="G56" s="6">
        <f t="shared" si="1"/>
        <v>828</v>
      </c>
    </row>
    <row r="57" spans="1:7" x14ac:dyDescent="0.4">
      <c r="A57" s="4" t="s">
        <v>5</v>
      </c>
      <c r="B57" s="5">
        <v>45962</v>
      </c>
      <c r="C57" s="6">
        <v>300</v>
      </c>
      <c r="D57" s="7">
        <v>86.2</v>
      </c>
      <c r="E57" s="7">
        <f>IF(OR(A57="",SUMIFS(C$4:C57,A$4:A57,A57)=0),"",SUMPRODUCT((A$4:A57=A57)*(C$4:C57)*(D$4:D57))/SUMIFS(C$4:C57,A$4:A57,A57))</f>
        <v>97.21185787273572</v>
      </c>
      <c r="F57" s="6">
        <v>291</v>
      </c>
      <c r="G57" s="6">
        <f t="shared" si="1"/>
        <v>9</v>
      </c>
    </row>
    <row r="58" spans="1:7" x14ac:dyDescent="0.4">
      <c r="A58" s="4" t="s">
        <v>5</v>
      </c>
      <c r="B58" s="5">
        <v>45992</v>
      </c>
      <c r="C58" s="6">
        <v>278</v>
      </c>
      <c r="D58" s="7">
        <v>95.2</v>
      </c>
      <c r="E58" s="7">
        <f>IF(OR(A58="",SUMIFS(C$4:C58,A$4:A58,A58)=0),"",SUMPRODUCT((A$4:A58=A58)*(C$4:C58)*(D$4:D58))/SUMIFS(C$4:C58,A$4:A58,A58))</f>
        <v>97.08984729493892</v>
      </c>
      <c r="F58" s="6">
        <v>206</v>
      </c>
      <c r="G58" s="6">
        <f t="shared" si="1"/>
        <v>72</v>
      </c>
    </row>
    <row r="59" spans="1:7" x14ac:dyDescent="0.4">
      <c r="A59" s="4" t="s">
        <v>5</v>
      </c>
      <c r="B59" s="5">
        <v>46023</v>
      </c>
      <c r="C59" s="6">
        <v>506</v>
      </c>
      <c r="D59" s="7">
        <v>94.2</v>
      </c>
      <c r="E59" s="7">
        <f>IF(OR(A59="",SUMIFS(C$4:C59,A$4:A59,A59)=0),"",SUMPRODUCT((A$4:A59=A59)*(C$4:C59)*(D$4:D59))/SUMIFS(C$4:C59,A$4:A59,A59))</f>
        <v>96.802565815324158</v>
      </c>
      <c r="F59" s="6">
        <v>28</v>
      </c>
      <c r="G59" s="6">
        <f t="shared" si="1"/>
        <v>478</v>
      </c>
    </row>
    <row r="60" spans="1:7" x14ac:dyDescent="0.4">
      <c r="A60" s="4" t="s">
        <v>5</v>
      </c>
      <c r="B60" s="5">
        <v>46054</v>
      </c>
      <c r="C60" s="6">
        <v>316</v>
      </c>
      <c r="D60" s="7">
        <v>94.2</v>
      </c>
      <c r="E60" s="7">
        <f>IF(OR(A60="",SUMIFS(C$4:C60,A$4:A60,A60)=0),"",SUMPRODUCT((A$4:A60=A60)*(C$4:C60)*(D$4:D60))/SUMIFS(C$4:C60,A$4:A60,A60))</f>
        <v>96.650436551979283</v>
      </c>
      <c r="F60" s="6"/>
      <c r="G60" s="6">
        <f t="shared" si="1"/>
        <v>316</v>
      </c>
    </row>
    <row r="61" spans="1:7" x14ac:dyDescent="0.4">
      <c r="A61" s="4" t="s">
        <v>5</v>
      </c>
      <c r="B61" s="5">
        <v>46113</v>
      </c>
      <c r="C61" s="6">
        <v>219</v>
      </c>
      <c r="D61" s="7">
        <v>111.7</v>
      </c>
      <c r="E61" s="7">
        <f>IF(OR(A61="",SUMIFS(C$4:C61,A$4:A61,A61)=0),"",SUMPRODUCT((A$4:A61=A61)*(C$4:C61)*(D$4:D61))/SUMIFS(C$4:C61,A$4:A61,A61))</f>
        <v>97.23636622222223</v>
      </c>
      <c r="F61" s="6">
        <v>214</v>
      </c>
      <c r="G61" s="6">
        <f t="shared" si="1"/>
        <v>5</v>
      </c>
    </row>
    <row r="62" spans="1:7" x14ac:dyDescent="0.4">
      <c r="A62" s="4" t="s">
        <v>5</v>
      </c>
      <c r="B62" s="5">
        <v>46174</v>
      </c>
      <c r="C62" s="6">
        <v>500</v>
      </c>
      <c r="D62" s="7">
        <v>93.8</v>
      </c>
      <c r="E62" s="7">
        <f>IF(OR(A62="",SUMIFS(C$4:C62,A$4:A62,A62)=0),"",SUMPRODUCT((A$4:A62=A62)*(C$4:C62)*(D$4:D62))/SUMIFS(C$4:C62,A$4:A62,A62))</f>
        <v>96.955846530612249</v>
      </c>
      <c r="F62" s="6"/>
      <c r="G62" s="6">
        <f t="shared" si="1"/>
        <v>500</v>
      </c>
    </row>
    <row r="63" spans="1:7" x14ac:dyDescent="0.4">
      <c r="A63" s="4" t="s">
        <v>5</v>
      </c>
      <c r="B63" s="5">
        <v>46235</v>
      </c>
      <c r="C63" s="6">
        <v>500</v>
      </c>
      <c r="D63" s="7">
        <v>117.8</v>
      </c>
      <c r="E63" s="7">
        <f>IF(OR(A63="",SUMIFS(C$4:C63,A$4:A63,A63)=0),"",SUMPRODUCT((A$4:A63=A63)*(C$4:C63)*(D$4:D63))/SUMIFS(C$4:C63,A$4:A63,A63))</f>
        <v>98.528990188679259</v>
      </c>
      <c r="F63" s="6"/>
      <c r="G63" s="6">
        <f t="shared" si="1"/>
        <v>500</v>
      </c>
    </row>
    <row r="64" spans="1:7" x14ac:dyDescent="0.4">
      <c r="A64" s="4" t="s">
        <v>5</v>
      </c>
      <c r="B64" s="5">
        <v>46266</v>
      </c>
      <c r="C64" s="6">
        <v>300</v>
      </c>
      <c r="D64" s="7">
        <v>117.4</v>
      </c>
      <c r="E64" s="7">
        <f>IF(OR(A64="",SUMIFS(C$4:C64,A$4:A64,A64)=0),"",SUMPRODUCT((A$4:A64=A64)*(C$4:C64)*(D$4:D64))/SUMIFS(C$4:C64,A$4:A64,A64))</f>
        <v>99.346506859205789</v>
      </c>
      <c r="F64" s="6"/>
      <c r="G64" s="6">
        <f t="shared" si="1"/>
        <v>300</v>
      </c>
    </row>
    <row r="65" spans="1:7" x14ac:dyDescent="0.4">
      <c r="A65" s="4" t="s">
        <v>6</v>
      </c>
      <c r="B65" s="5">
        <v>45931</v>
      </c>
      <c r="C65" s="6"/>
      <c r="D65" s="7">
        <v>77.900000000000006</v>
      </c>
      <c r="E65" s="7" t="str">
        <f>IF(OR(A65="",SUMIFS(C$4:C65,A$4:A65,A65)=0),"",SUMPRODUCT((A$4:A65=A65)*(C$4:C65)*(D$4:D65))/SUMIFS(C$4:C65,A$4:A65,A65))</f>
        <v/>
      </c>
      <c r="F65" s="6"/>
      <c r="G65" s="6" t="str">
        <f t="shared" si="1"/>
        <v/>
      </c>
    </row>
    <row r="66" spans="1:7" x14ac:dyDescent="0.4">
      <c r="A66" s="4" t="s">
        <v>6</v>
      </c>
      <c r="B66" s="5">
        <v>45962</v>
      </c>
      <c r="C66" s="6"/>
      <c r="D66" s="7">
        <v>77.900000000000006</v>
      </c>
      <c r="E66" s="7" t="str">
        <f>IF(OR(A66="",SUMIFS(C$4:C66,A$4:A66,A66)=0),"",SUMPRODUCT((A$4:A66=A66)*(C$4:C66)*(D$4:D66))/SUMIFS(C$4:C66,A$4:A66,A66))</f>
        <v/>
      </c>
      <c r="F66" s="6"/>
      <c r="G66" s="6" t="str">
        <f t="shared" si="1"/>
        <v/>
      </c>
    </row>
    <row r="67" spans="1:7" x14ac:dyDescent="0.4">
      <c r="A67" s="4" t="s">
        <v>6</v>
      </c>
      <c r="B67" s="5">
        <v>45992</v>
      </c>
      <c r="C67" s="6"/>
      <c r="D67" s="7">
        <v>77.900000000000006</v>
      </c>
      <c r="E67" s="7" t="str">
        <f>IF(OR(A67="",SUMIFS(C$4:C67,A$4:A67,A67)=0),"",SUMPRODUCT((A$4:A67=A67)*(C$4:C67)*(D$4:D67))/SUMIFS(C$4:C67,A$4:A67,A67))</f>
        <v/>
      </c>
      <c r="F67" s="6"/>
      <c r="G67" s="6" t="str">
        <f t="shared" si="1"/>
        <v/>
      </c>
    </row>
    <row r="68" spans="1:7" x14ac:dyDescent="0.4">
      <c r="A68" s="4" t="s">
        <v>6</v>
      </c>
      <c r="B68" s="5">
        <v>46023</v>
      </c>
      <c r="C68" s="6"/>
      <c r="D68" s="7">
        <v>77.900000000000006</v>
      </c>
      <c r="E68" s="7" t="str">
        <f>IF(OR(A68="",SUMIFS(C$4:C68,A$4:A68,A68)=0),"",SUMPRODUCT((A$4:A68=A68)*(C$4:C68)*(D$4:D68))/SUMIFS(C$4:C68,A$4:A68,A68))</f>
        <v/>
      </c>
      <c r="F68" s="6"/>
      <c r="G68" s="6" t="str">
        <f t="shared" ref="G68:G99" si="2">IF(C68="","",C68-IF(ISNUMBER(F68),F68,0))</f>
        <v/>
      </c>
    </row>
    <row r="69" spans="1:7" x14ac:dyDescent="0.4">
      <c r="A69" s="4" t="s">
        <v>6</v>
      </c>
      <c r="B69" s="5">
        <v>46054</v>
      </c>
      <c r="C69" s="6"/>
      <c r="D69" s="7">
        <v>77.900000000000006</v>
      </c>
      <c r="E69" s="7" t="str">
        <f>IF(OR(A69="",SUMIFS(C$4:C69,A$4:A69,A69)=0),"",SUMPRODUCT((A$4:A69=A69)*(C$4:C69)*(D$4:D69))/SUMIFS(C$4:C69,A$4:A69,A69))</f>
        <v/>
      </c>
      <c r="F69" s="6"/>
      <c r="G69" s="6" t="str">
        <f t="shared" si="2"/>
        <v/>
      </c>
    </row>
    <row r="70" spans="1:7" x14ac:dyDescent="0.4">
      <c r="A70" s="4" t="s">
        <v>6</v>
      </c>
      <c r="B70" s="5">
        <v>46082</v>
      </c>
      <c r="C70" s="6"/>
      <c r="D70" s="7">
        <v>77.900000000000006</v>
      </c>
      <c r="E70" s="7" t="str">
        <f>IF(OR(A70="",SUMIFS(C$4:C70,A$4:A70,A70)=0),"",SUMPRODUCT((A$4:A70=A70)*(C$4:C70)*(D$4:D70))/SUMIFS(C$4:C70,A$4:A70,A70))</f>
        <v/>
      </c>
      <c r="F70" s="6"/>
      <c r="G70" s="6" t="str">
        <f t="shared" si="2"/>
        <v/>
      </c>
    </row>
    <row r="71" spans="1:7" x14ac:dyDescent="0.4">
      <c r="A71" s="4" t="s">
        <v>6</v>
      </c>
      <c r="B71" s="5">
        <v>46113</v>
      </c>
      <c r="C71" s="6"/>
      <c r="D71" s="7">
        <v>77.900000000000006</v>
      </c>
      <c r="E71" s="7" t="str">
        <f>IF(OR(A71="",SUMIFS(C$4:C71,A$4:A71,A71)=0),"",SUMPRODUCT((A$4:A71=A71)*(C$4:C71)*(D$4:D71))/SUMIFS(C$4:C71,A$4:A71,A71))</f>
        <v/>
      </c>
      <c r="F71" s="6"/>
      <c r="G71" s="6" t="str">
        <f t="shared" si="2"/>
        <v/>
      </c>
    </row>
    <row r="72" spans="1:7" x14ac:dyDescent="0.4">
      <c r="A72" s="4" t="s">
        <v>6</v>
      </c>
      <c r="B72" s="5">
        <v>46143</v>
      </c>
      <c r="C72" s="6"/>
      <c r="D72" s="7">
        <v>77.900000000000006</v>
      </c>
      <c r="E72" s="7" t="str">
        <f>IF(OR(A72="",SUMIFS(C$4:C72,A$4:A72,A72)=0),"",SUMPRODUCT((A$4:A72=A72)*(C$4:C72)*(D$4:D72))/SUMIFS(C$4:C72,A$4:A72,A72))</f>
        <v/>
      </c>
      <c r="F72" s="6"/>
      <c r="G72" s="6" t="str">
        <f t="shared" si="2"/>
        <v/>
      </c>
    </row>
    <row r="73" spans="1:7" x14ac:dyDescent="0.4">
      <c r="A73" s="4" t="s">
        <v>6</v>
      </c>
      <c r="B73" s="5">
        <v>46174</v>
      </c>
      <c r="C73" s="6">
        <v>445</v>
      </c>
      <c r="D73" s="7">
        <v>93.1</v>
      </c>
      <c r="E73" s="7">
        <f>IF(OR(A73="",SUMIFS(C$4:C73,A$4:A73,A73)=0),"",SUMPRODUCT((A$4:A73=A73)*(C$4:C73)*(D$4:D73))/SUMIFS(C$4:C73,A$4:A73,A73))</f>
        <v>93.1</v>
      </c>
      <c r="F73" s="6">
        <v>445</v>
      </c>
      <c r="G73" s="6">
        <f t="shared" si="2"/>
        <v>0</v>
      </c>
    </row>
    <row r="74" spans="1:7" x14ac:dyDescent="0.4">
      <c r="A74" s="4" t="s">
        <v>6</v>
      </c>
      <c r="B74" s="5">
        <v>46204</v>
      </c>
      <c r="C74" s="6">
        <v>439</v>
      </c>
      <c r="D74" s="7">
        <v>94.79</v>
      </c>
      <c r="E74" s="7">
        <f>IF(OR(A74="",SUMIFS(C$4:C74,A$4:A74,A74)=0),"",SUMPRODUCT((A$4:A74=A74)*(C$4:C74)*(D$4:D74))/SUMIFS(C$4:C74,A$4:A74,A74))</f>
        <v>93.939264705882351</v>
      </c>
      <c r="F74" s="6">
        <v>434</v>
      </c>
      <c r="G74" s="6">
        <f t="shared" si="2"/>
        <v>5</v>
      </c>
    </row>
    <row r="75" spans="1:7" x14ac:dyDescent="0.4">
      <c r="A75" s="4" t="s">
        <v>6</v>
      </c>
      <c r="B75" s="5">
        <v>46235</v>
      </c>
      <c r="C75" s="6">
        <v>5</v>
      </c>
      <c r="D75" s="7">
        <v>94.79</v>
      </c>
      <c r="E75" s="7">
        <f>IF(OR(A75="",SUMIFS(C$4:C75,A$4:A75,A75)=0),"",SUMPRODUCT((A$4:A75=A75)*(C$4:C75)*(D$4:D75))/SUMIFS(C$4:C75,A$4:A75,A75))</f>
        <v>93.944049493813267</v>
      </c>
      <c r="F75" s="6"/>
      <c r="G75" s="6">
        <f t="shared" si="2"/>
        <v>5</v>
      </c>
    </row>
    <row r="76" spans="1:7" x14ac:dyDescent="0.4">
      <c r="A76" s="4" t="s">
        <v>6</v>
      </c>
      <c r="B76" s="5">
        <v>46266</v>
      </c>
      <c r="C76" s="6">
        <v>5</v>
      </c>
      <c r="D76" s="7">
        <v>94.79</v>
      </c>
      <c r="E76" s="7">
        <f>IF(OR(A76="",SUMIFS(C$4:C76,A$4:A76,A76)=0),"",SUMPRODUCT((A$4:A76=A76)*(C$4:C76)*(D$4:D76))/SUMIFS(C$4:C76,A$4:A76,A76))</f>
        <v>93.948780760626391</v>
      </c>
      <c r="F76" s="6">
        <v>310</v>
      </c>
      <c r="G76" s="6">
        <f t="shared" si="2"/>
        <v>-305</v>
      </c>
    </row>
    <row r="77" spans="1:7" x14ac:dyDescent="0.4">
      <c r="A77" s="4" t="s">
        <v>6</v>
      </c>
      <c r="B77" s="5">
        <v>46296</v>
      </c>
      <c r="C77" s="6">
        <v>-305</v>
      </c>
      <c r="D77" s="7">
        <v>94.79</v>
      </c>
      <c r="E77" s="7">
        <f>IF(OR(A77="",SUMIFS(C$4:C77,A$4:A77,A77)=0),"",SUMPRODUCT((A$4:A77=A77)*(C$4:C77)*(D$4:D77))/SUMIFS(C$4:C77,A$4:A77,A77))</f>
        <v>93.51317487266553</v>
      </c>
      <c r="F77" s="6">
        <v>150</v>
      </c>
      <c r="G77" s="6">
        <f t="shared" si="2"/>
        <v>-455</v>
      </c>
    </row>
    <row r="78" spans="1:7" x14ac:dyDescent="0.4">
      <c r="A78" s="4" t="s">
        <v>6</v>
      </c>
      <c r="B78" s="5">
        <v>46054</v>
      </c>
      <c r="C78" s="6"/>
      <c r="D78" s="7"/>
      <c r="E78" s="7">
        <f>IF(OR(A78="",SUMIFS(C$4:C78,A$4:A78,A78)=0),"",SUMPRODUCT((A$4:A78=A78)*(C$4:C78)*(D$4:D78))/SUMIFS(C$4:C78,A$4:A78,A78))</f>
        <v>93.51317487266553</v>
      </c>
      <c r="F78" s="6"/>
      <c r="G78" s="6" t="str">
        <f t="shared" si="2"/>
        <v/>
      </c>
    </row>
    <row r="79" spans="1:7" x14ac:dyDescent="0.4">
      <c r="A79" s="4" t="s">
        <v>6</v>
      </c>
      <c r="B79" s="5">
        <v>46143</v>
      </c>
      <c r="C79" s="6">
        <v>1000</v>
      </c>
      <c r="D79" s="7">
        <v>93.1</v>
      </c>
      <c r="E79" s="7">
        <f>IF(OR(A79="",SUMIFS(C$4:C79,A$4:A79,A79)=0),"",SUMPRODUCT((A$4:A79=A79)*(C$4:C79)*(D$4:D79))/SUMIFS(C$4:C79,A$4:A79,A79))</f>
        <v>93.253152926368784</v>
      </c>
      <c r="F79" s="6">
        <v>55</v>
      </c>
      <c r="G79" s="6">
        <f t="shared" si="2"/>
        <v>945</v>
      </c>
    </row>
    <row r="80" spans="1:7" x14ac:dyDescent="0.4">
      <c r="A80" s="4" t="s">
        <v>6</v>
      </c>
      <c r="B80" s="5">
        <v>46174</v>
      </c>
      <c r="C80" s="6">
        <v>500</v>
      </c>
      <c r="D80" s="7">
        <v>96.3</v>
      </c>
      <c r="E80" s="7">
        <f>IF(OR(A80="",SUMIFS(C$4:C80,A$4:A80,A80)=0),"",SUMPRODUCT((A$4:A80=A80)*(C$4:C80)*(D$4:D80))/SUMIFS(C$4:C80,A$4:A80,A80))</f>
        <v>93.982412637625657</v>
      </c>
      <c r="F80" s="6">
        <v>61</v>
      </c>
      <c r="G80" s="6">
        <f t="shared" si="2"/>
        <v>439</v>
      </c>
    </row>
    <row r="81" spans="1:7" x14ac:dyDescent="0.4">
      <c r="A81" s="4" t="s">
        <v>7</v>
      </c>
      <c r="B81" s="5">
        <v>45931</v>
      </c>
      <c r="C81" s="6"/>
      <c r="D81" s="7">
        <v>72.5</v>
      </c>
      <c r="E81" s="7" t="str">
        <f>IF(OR(A81="",SUMIFS(C$4:C81,A$4:A81,A81)=0),"",SUMPRODUCT((A$4:A81=A81)*(C$4:C81)*(D$4:D81))/SUMIFS(C$4:C81,A$4:A81,A81))</f>
        <v/>
      </c>
      <c r="F81" s="6"/>
      <c r="G81" s="6" t="str">
        <f t="shared" si="2"/>
        <v/>
      </c>
    </row>
    <row r="82" spans="1:7" x14ac:dyDescent="0.4">
      <c r="A82" s="4" t="s">
        <v>7</v>
      </c>
      <c r="B82" s="5">
        <v>45962</v>
      </c>
      <c r="C82" s="6"/>
      <c r="D82" s="7">
        <v>72.5</v>
      </c>
      <c r="E82" s="7" t="str">
        <f>IF(OR(A82="",SUMIFS(C$4:C82,A$4:A82,A82)=0),"",SUMPRODUCT((A$4:A82=A82)*(C$4:C82)*(D$4:D82))/SUMIFS(C$4:C82,A$4:A82,A82))</f>
        <v/>
      </c>
      <c r="F82" s="6"/>
      <c r="G82" s="6" t="str">
        <f t="shared" si="2"/>
        <v/>
      </c>
    </row>
    <row r="83" spans="1:7" x14ac:dyDescent="0.4">
      <c r="A83" s="4" t="s">
        <v>7</v>
      </c>
      <c r="B83" s="5">
        <v>45992</v>
      </c>
      <c r="C83" s="6"/>
      <c r="D83" s="7">
        <v>72.5</v>
      </c>
      <c r="E83" s="7" t="str">
        <f>IF(OR(A83="",SUMIFS(C$4:C83,A$4:A83,A83)=0),"",SUMPRODUCT((A$4:A83=A83)*(C$4:C83)*(D$4:D83))/SUMIFS(C$4:C83,A$4:A83,A83))</f>
        <v/>
      </c>
      <c r="F83" s="6"/>
      <c r="G83" s="6" t="str">
        <f t="shared" si="2"/>
        <v/>
      </c>
    </row>
    <row r="84" spans="1:7" x14ac:dyDescent="0.4">
      <c r="A84" s="4" t="s">
        <v>7</v>
      </c>
      <c r="B84" s="5">
        <v>46023</v>
      </c>
      <c r="C84" s="6"/>
      <c r="D84" s="7">
        <v>72.5</v>
      </c>
      <c r="E84" s="7" t="str">
        <f>IF(OR(A84="",SUMIFS(C$4:C84,A$4:A84,A84)=0),"",SUMPRODUCT((A$4:A84=A84)*(C$4:C84)*(D$4:D84))/SUMIFS(C$4:C84,A$4:A84,A84))</f>
        <v/>
      </c>
      <c r="F84" s="6"/>
      <c r="G84" s="6" t="str">
        <f t="shared" si="2"/>
        <v/>
      </c>
    </row>
    <row r="85" spans="1:7" x14ac:dyDescent="0.4">
      <c r="A85" s="4" t="s">
        <v>7</v>
      </c>
      <c r="B85" s="5">
        <v>46054</v>
      </c>
      <c r="C85" s="6"/>
      <c r="D85" s="7">
        <v>72.5</v>
      </c>
      <c r="E85" s="7" t="str">
        <f>IF(OR(A85="",SUMIFS(C$4:C85,A$4:A85,A85)=0),"",SUMPRODUCT((A$4:A85=A85)*(C$4:C85)*(D$4:D85))/SUMIFS(C$4:C85,A$4:A85,A85))</f>
        <v/>
      </c>
      <c r="F85" s="6">
        <v>72</v>
      </c>
      <c r="G85" s="6" t="str">
        <f t="shared" si="2"/>
        <v/>
      </c>
    </row>
    <row r="86" spans="1:7" x14ac:dyDescent="0.4">
      <c r="A86" s="4" t="s">
        <v>7</v>
      </c>
      <c r="B86" s="5">
        <v>46082</v>
      </c>
      <c r="C86" s="6">
        <v>228</v>
      </c>
      <c r="D86" s="7">
        <v>89.5</v>
      </c>
      <c r="E86" s="7">
        <f>IF(OR(A86="",SUMIFS(C$4:C86,A$4:A86,A86)=0),"",SUMPRODUCT((A$4:A86=A86)*(C$4:C86)*(D$4:D86))/SUMIFS(C$4:C86,A$4:A86,A86))</f>
        <v>89.5</v>
      </c>
      <c r="F86" s="6">
        <v>197</v>
      </c>
      <c r="G86" s="6">
        <f t="shared" si="2"/>
        <v>31</v>
      </c>
    </row>
    <row r="87" spans="1:7" x14ac:dyDescent="0.4">
      <c r="A87" s="4" t="s">
        <v>7</v>
      </c>
      <c r="B87" s="5">
        <v>46113</v>
      </c>
      <c r="C87" s="6">
        <v>31</v>
      </c>
      <c r="D87" s="7">
        <v>89.5</v>
      </c>
      <c r="E87" s="7">
        <f>IF(OR(A87="",SUMIFS(C$4:C87,A$4:A87,A87)=0),"",SUMPRODUCT((A$4:A87=A87)*(C$4:C87)*(D$4:D87))/SUMIFS(C$4:C87,A$4:A87,A87))</f>
        <v>89.5</v>
      </c>
      <c r="F87" s="6">
        <v>31</v>
      </c>
      <c r="G87" s="6">
        <f t="shared" si="2"/>
        <v>0</v>
      </c>
    </row>
    <row r="88" spans="1:7" x14ac:dyDescent="0.4">
      <c r="A88" s="4" t="s">
        <v>7</v>
      </c>
      <c r="B88" s="5">
        <v>46143</v>
      </c>
      <c r="C88" s="6">
        <v>101</v>
      </c>
      <c r="D88" s="7">
        <v>103.1</v>
      </c>
      <c r="E88" s="7">
        <f>IF(OR(A88="",SUMIFS(C$4:C88,A$4:A88,A88)=0),"",SUMPRODUCT((A$4:A88=A88)*(C$4:C88)*(D$4:D88))/SUMIFS(C$4:C88,A$4:A88,A88))</f>
        <v>93.315555555555548</v>
      </c>
      <c r="F88" s="6"/>
      <c r="G88" s="6">
        <f t="shared" si="2"/>
        <v>101</v>
      </c>
    </row>
    <row r="89" spans="1:7" x14ac:dyDescent="0.4">
      <c r="A89" s="4" t="s">
        <v>7</v>
      </c>
      <c r="B89" s="5">
        <v>46174</v>
      </c>
      <c r="C89" s="6">
        <v>101</v>
      </c>
      <c r="D89" s="7">
        <v>103.1</v>
      </c>
      <c r="E89" s="7">
        <f>IF(OR(A89="",SUMIFS(C$4:C89,A$4:A89,A89)=0),"",SUMPRODUCT((A$4:A89=A89)*(C$4:C89)*(D$4:D89))/SUMIFS(C$4:C89,A$4:A89,A89))</f>
        <v>95.45921908893709</v>
      </c>
      <c r="F89" s="6">
        <v>73</v>
      </c>
      <c r="G89" s="6">
        <f t="shared" si="2"/>
        <v>28</v>
      </c>
    </row>
    <row r="90" spans="1:7" x14ac:dyDescent="0.4">
      <c r="A90" s="4" t="s">
        <v>7</v>
      </c>
      <c r="B90" s="5">
        <v>46204</v>
      </c>
      <c r="C90" s="6">
        <v>28</v>
      </c>
      <c r="D90" s="7">
        <v>103.1</v>
      </c>
      <c r="E90" s="7">
        <f>IF(OR(A90="",SUMIFS(C$4:C90,A$4:A90,A90)=0),"",SUMPRODUCT((A$4:A90=A90)*(C$4:C90)*(D$4:D90))/SUMIFS(C$4:C90,A$4:A90,A90))</f>
        <v>95.896728016359916</v>
      </c>
      <c r="F90" s="6"/>
      <c r="G90" s="6">
        <f t="shared" si="2"/>
        <v>28</v>
      </c>
    </row>
    <row r="91" spans="1:7" x14ac:dyDescent="0.4">
      <c r="A91" s="4" t="s">
        <v>7</v>
      </c>
      <c r="B91" s="5">
        <v>46235</v>
      </c>
      <c r="C91" s="6">
        <v>28</v>
      </c>
      <c r="D91" s="7">
        <v>103.1</v>
      </c>
      <c r="E91" s="7">
        <f>IF(OR(A91="",SUMIFS(C$4:C91,A$4:A91,A91)=0),"",SUMPRODUCT((A$4:A91=A91)*(C$4:C91)*(D$4:D91))/SUMIFS(C$4:C91,A$4:A91,A91))</f>
        <v>96.286847195357836</v>
      </c>
      <c r="F91" s="6"/>
      <c r="G91" s="6">
        <f t="shared" si="2"/>
        <v>28</v>
      </c>
    </row>
    <row r="92" spans="1:7" x14ac:dyDescent="0.4">
      <c r="A92" s="4" t="s">
        <v>7</v>
      </c>
      <c r="B92" s="5">
        <v>46266</v>
      </c>
      <c r="C92" s="6">
        <v>28</v>
      </c>
      <c r="D92" s="7">
        <v>103.1</v>
      </c>
      <c r="E92" s="7">
        <f>IF(OR(A92="",SUMIFS(C$4:C92,A$4:A92,A92)=0),"",SUMPRODUCT((A$4:A92=A92)*(C$4:C92)*(D$4:D92))/SUMIFS(C$4:C92,A$4:A92,A92))</f>
        <v>96.636880733944963</v>
      </c>
      <c r="F92" s="6"/>
      <c r="G92" s="6">
        <f t="shared" si="2"/>
        <v>28</v>
      </c>
    </row>
    <row r="93" spans="1:7" x14ac:dyDescent="0.4">
      <c r="A93" s="4" t="s">
        <v>7</v>
      </c>
      <c r="B93" s="5">
        <v>46296</v>
      </c>
      <c r="C93" s="6">
        <v>728</v>
      </c>
      <c r="D93" s="7">
        <v>112.14</v>
      </c>
      <c r="E93" s="7">
        <f>IF(OR(A93="",SUMIFS(C$4:C93,A$4:A93,A93)=0),"",SUMPRODUCT((A$4:A93=A93)*(C$4:C93)*(D$4:D93))/SUMIFS(C$4:C93,A$4:A93,A93))</f>
        <v>105.50276512175964</v>
      </c>
      <c r="F93" s="6">
        <v>140</v>
      </c>
      <c r="G93" s="6">
        <f t="shared" si="2"/>
        <v>588</v>
      </c>
    </row>
    <row r="94" spans="1:7" x14ac:dyDescent="0.4">
      <c r="A94" s="4" t="s">
        <v>7</v>
      </c>
      <c r="B94" s="5">
        <v>46054</v>
      </c>
      <c r="C94" s="6">
        <v>300</v>
      </c>
      <c r="D94" s="7">
        <v>89.5</v>
      </c>
      <c r="E94" s="7">
        <f>IF(OR(A94="",SUMIFS(C$4:C94,A$4:A94,A94)=0),"",SUMPRODUCT((A$4:A94=A94)*(C$4:C94)*(D$4:D94))/SUMIFS(C$4:C94,A$4:A94,A94))</f>
        <v>102.45074380165291</v>
      </c>
      <c r="F94" s="6"/>
      <c r="G94" s="6">
        <f t="shared" si="2"/>
        <v>300</v>
      </c>
    </row>
    <row r="95" spans="1:7" x14ac:dyDescent="0.4">
      <c r="A95" s="4" t="s">
        <v>7</v>
      </c>
      <c r="B95" s="5">
        <v>46113</v>
      </c>
      <c r="C95" s="6">
        <v>300</v>
      </c>
      <c r="D95" s="7">
        <v>104.5</v>
      </c>
      <c r="E95" s="7">
        <f>IF(OR(A95="",SUMIFS(C$4:C95,A$4:A95,A95)=0),"",SUMPRODUCT((A$4:A95=A95)*(C$4:C95)*(D$4:D95))/SUMIFS(C$4:C95,A$4:A95,A95))</f>
        <v>102.77897490656702</v>
      </c>
      <c r="F95" s="6">
        <v>199</v>
      </c>
      <c r="G95" s="6">
        <f t="shared" si="2"/>
        <v>101</v>
      </c>
    </row>
    <row r="96" spans="1:7" x14ac:dyDescent="0.4">
      <c r="A96" s="4" t="s">
        <v>7</v>
      </c>
      <c r="B96" s="5">
        <v>46266</v>
      </c>
      <c r="C96" s="6">
        <v>700</v>
      </c>
      <c r="D96" s="7">
        <v>112.5</v>
      </c>
      <c r="E96" s="7">
        <f>IF(OR(A96="",SUMIFS(C$4:C96,A$4:A96,A96)=0),"",SUMPRODUCT((A$4:A96=A96)*(C$4:C96)*(D$4:D96))/SUMIFS(C$4:C96,A$4:A96,A96))</f>
        <v>105.42363777691412</v>
      </c>
      <c r="F96" s="6"/>
      <c r="G96" s="6">
        <f t="shared" si="2"/>
        <v>700</v>
      </c>
    </row>
    <row r="97" spans="1:7" x14ac:dyDescent="0.4">
      <c r="A97" s="4" t="s">
        <v>8</v>
      </c>
      <c r="B97" s="5">
        <v>45931</v>
      </c>
      <c r="C97" s="6"/>
      <c r="D97" s="7">
        <v>73.5</v>
      </c>
      <c r="E97" s="7" t="str">
        <f>IF(OR(A97="",SUMIFS(C$4:C97,A$4:A97,A97)=0),"",SUMPRODUCT((A$4:A97=A97)*(C$4:C97)*(D$4:D97))/SUMIFS(C$4:C97,A$4:A97,A97))</f>
        <v/>
      </c>
      <c r="F97" s="6"/>
      <c r="G97" s="6" t="str">
        <f t="shared" si="2"/>
        <v/>
      </c>
    </row>
    <row r="98" spans="1:7" x14ac:dyDescent="0.4">
      <c r="A98" s="4" t="s">
        <v>8</v>
      </c>
      <c r="B98" s="5">
        <v>45962</v>
      </c>
      <c r="C98" s="6"/>
      <c r="D98" s="7">
        <v>73.5</v>
      </c>
      <c r="E98" s="7" t="str">
        <f>IF(OR(A98="",SUMIFS(C$4:C98,A$4:A98,A98)=0),"",SUMPRODUCT((A$4:A98=A98)*(C$4:C98)*(D$4:D98))/SUMIFS(C$4:C98,A$4:A98,A98))</f>
        <v/>
      </c>
      <c r="F98" s="6"/>
      <c r="G98" s="6" t="str">
        <f t="shared" si="2"/>
        <v/>
      </c>
    </row>
    <row r="99" spans="1:7" x14ac:dyDescent="0.4">
      <c r="A99" s="4" t="s">
        <v>8</v>
      </c>
      <c r="B99" s="5">
        <v>45992</v>
      </c>
      <c r="C99" s="6"/>
      <c r="D99" s="7">
        <v>73.5</v>
      </c>
      <c r="E99" s="7" t="str">
        <f>IF(OR(A99="",SUMIFS(C$4:C99,A$4:A99,A99)=0),"",SUMPRODUCT((A$4:A99=A99)*(C$4:C99)*(D$4:D99))/SUMIFS(C$4:C99,A$4:A99,A99))</f>
        <v/>
      </c>
      <c r="F99" s="6"/>
      <c r="G99" s="6" t="str">
        <f t="shared" si="2"/>
        <v/>
      </c>
    </row>
    <row r="100" spans="1:7" x14ac:dyDescent="0.4">
      <c r="A100" s="4" t="s">
        <v>8</v>
      </c>
      <c r="B100" s="5">
        <v>46023</v>
      </c>
      <c r="C100" s="6"/>
      <c r="D100" s="7">
        <v>73.5</v>
      </c>
      <c r="E100" s="7" t="str">
        <f>IF(OR(A100="",SUMIFS(C$4:C100,A$4:A100,A100)=0),"",SUMPRODUCT((A$4:A100=A100)*(C$4:C100)*(D$4:D100))/SUMIFS(C$4:C100,A$4:A100,A100))</f>
        <v/>
      </c>
      <c r="F100" s="6"/>
      <c r="G100" s="6" t="str">
        <f t="shared" ref="G100:G131" si="3">IF(C100="","",C100-IF(ISNUMBER(F100),F100,0))</f>
        <v/>
      </c>
    </row>
    <row r="101" spans="1:7" x14ac:dyDescent="0.4">
      <c r="A101" s="4" t="s">
        <v>8</v>
      </c>
      <c r="B101" s="5">
        <v>46054</v>
      </c>
      <c r="C101" s="6"/>
      <c r="D101" s="7">
        <v>73.5</v>
      </c>
      <c r="E101" s="7" t="str">
        <f>IF(OR(A101="",SUMIFS(C$4:C101,A$4:A101,A101)=0),"",SUMPRODUCT((A$4:A101=A101)*(C$4:C101)*(D$4:D101))/SUMIFS(C$4:C101,A$4:A101,A101))</f>
        <v/>
      </c>
      <c r="F101" s="6"/>
      <c r="G101" s="6" t="str">
        <f t="shared" si="3"/>
        <v/>
      </c>
    </row>
    <row r="102" spans="1:7" x14ac:dyDescent="0.4">
      <c r="A102" s="4" t="s">
        <v>8</v>
      </c>
      <c r="B102" s="5">
        <v>46082</v>
      </c>
      <c r="C102" s="6"/>
      <c r="D102" s="7">
        <v>73.5</v>
      </c>
      <c r="E102" s="7" t="str">
        <f>IF(OR(A102="",SUMIFS(C$4:C102,A$4:A102,A102)=0),"",SUMPRODUCT((A$4:A102=A102)*(C$4:C102)*(D$4:D102))/SUMIFS(C$4:C102,A$4:A102,A102))</f>
        <v/>
      </c>
      <c r="F102" s="6"/>
      <c r="G102" s="6" t="str">
        <f t="shared" si="3"/>
        <v/>
      </c>
    </row>
    <row r="103" spans="1:7" x14ac:dyDescent="0.4">
      <c r="A103" s="4" t="s">
        <v>8</v>
      </c>
      <c r="B103" s="5">
        <v>46113</v>
      </c>
      <c r="C103" s="6"/>
      <c r="D103" s="7">
        <v>73.5</v>
      </c>
      <c r="E103" s="7" t="str">
        <f>IF(OR(A103="",SUMIFS(C$4:C103,A$4:A103,A103)=0),"",SUMPRODUCT((A$4:A103=A103)*(C$4:C103)*(D$4:D103))/SUMIFS(C$4:C103,A$4:A103,A103))</f>
        <v/>
      </c>
      <c r="F103" s="6"/>
      <c r="G103" s="6" t="str">
        <f t="shared" si="3"/>
        <v/>
      </c>
    </row>
    <row r="104" spans="1:7" x14ac:dyDescent="0.4">
      <c r="A104" s="4" t="s">
        <v>8</v>
      </c>
      <c r="B104" s="5">
        <v>46143</v>
      </c>
      <c r="C104" s="6"/>
      <c r="D104" s="7">
        <v>73.5</v>
      </c>
      <c r="E104" s="7" t="str">
        <f>IF(OR(A104="",SUMIFS(C$4:C104,A$4:A104,A104)=0),"",SUMPRODUCT((A$4:A104=A104)*(C$4:C104)*(D$4:D104))/SUMIFS(C$4:C104,A$4:A104,A104))</f>
        <v/>
      </c>
      <c r="F104" s="6"/>
      <c r="G104" s="6" t="str">
        <f t="shared" si="3"/>
        <v/>
      </c>
    </row>
    <row r="105" spans="1:7" x14ac:dyDescent="0.4">
      <c r="A105" s="4" t="s">
        <v>8</v>
      </c>
      <c r="B105" s="5">
        <v>46174</v>
      </c>
      <c r="C105" s="6"/>
      <c r="D105" s="7">
        <v>73.5</v>
      </c>
      <c r="E105" s="7" t="str">
        <f>IF(OR(A105="",SUMIFS(C$4:C105,A$4:A105,A105)=0),"",SUMPRODUCT((A$4:A105=A105)*(C$4:C105)*(D$4:D105))/SUMIFS(C$4:C105,A$4:A105,A105))</f>
        <v/>
      </c>
      <c r="F105" s="6"/>
      <c r="G105" s="6" t="str">
        <f t="shared" si="3"/>
        <v/>
      </c>
    </row>
    <row r="106" spans="1:7" x14ac:dyDescent="0.4">
      <c r="A106" s="4" t="s">
        <v>8</v>
      </c>
      <c r="B106" s="5">
        <v>46204</v>
      </c>
      <c r="C106" s="6">
        <v>595</v>
      </c>
      <c r="D106" s="7">
        <v>91.4</v>
      </c>
      <c r="E106" s="7">
        <f>IF(OR(A106="",SUMIFS(C$4:C106,A$4:A106,A106)=0),"",SUMPRODUCT((A$4:A106=A106)*(C$4:C106)*(D$4:D106))/SUMIFS(C$4:C106,A$4:A106,A106))</f>
        <v>91.4</v>
      </c>
      <c r="F106" s="6">
        <v>18</v>
      </c>
      <c r="G106" s="6">
        <f t="shared" si="3"/>
        <v>577</v>
      </c>
    </row>
    <row r="107" spans="1:7" x14ac:dyDescent="0.4">
      <c r="A107" s="4" t="s">
        <v>8</v>
      </c>
      <c r="B107" s="5">
        <v>46235</v>
      </c>
      <c r="C107" s="6">
        <v>577</v>
      </c>
      <c r="D107" s="7">
        <v>91.4</v>
      </c>
      <c r="E107" s="7">
        <f>IF(OR(A107="",SUMIFS(C$4:C107,A$4:A107,A107)=0),"",SUMPRODUCT((A$4:A107=A107)*(C$4:C107)*(D$4:D107))/SUMIFS(C$4:C107,A$4:A107,A107))</f>
        <v>91.4</v>
      </c>
      <c r="F107" s="6">
        <v>80</v>
      </c>
      <c r="G107" s="6">
        <f t="shared" si="3"/>
        <v>497</v>
      </c>
    </row>
    <row r="108" spans="1:7" x14ac:dyDescent="0.4">
      <c r="A108" s="4" t="s">
        <v>8</v>
      </c>
      <c r="B108" s="5">
        <v>46266</v>
      </c>
      <c r="C108" s="6">
        <v>497</v>
      </c>
      <c r="D108" s="7">
        <v>91.4</v>
      </c>
      <c r="E108" s="7">
        <f>IF(OR(A108="",SUMIFS(C$4:C108,A$4:A108,A108)=0),"",SUMPRODUCT((A$4:A108=A108)*(C$4:C108)*(D$4:D108))/SUMIFS(C$4:C108,A$4:A108,A108))</f>
        <v>91.4</v>
      </c>
      <c r="F108" s="6">
        <v>28</v>
      </c>
      <c r="G108" s="6">
        <f t="shared" si="3"/>
        <v>469</v>
      </c>
    </row>
    <row r="109" spans="1:7" x14ac:dyDescent="0.4">
      <c r="A109" s="4" t="s">
        <v>8</v>
      </c>
      <c r="B109" s="5">
        <v>46296</v>
      </c>
      <c r="C109" s="6">
        <v>469</v>
      </c>
      <c r="D109" s="7">
        <v>91.4</v>
      </c>
      <c r="E109" s="7">
        <f>IF(OR(A109="",SUMIFS(C$4:C109,A$4:A109,A109)=0),"",SUMPRODUCT((A$4:A109=A109)*(C$4:C109)*(D$4:D109))/SUMIFS(C$4:C109,A$4:A109,A109))</f>
        <v>91.4</v>
      </c>
      <c r="F109" s="6">
        <v>30</v>
      </c>
      <c r="G109" s="6">
        <f t="shared" si="3"/>
        <v>439</v>
      </c>
    </row>
    <row r="110" spans="1:7" x14ac:dyDescent="0.4">
      <c r="A110" s="4" t="s">
        <v>8</v>
      </c>
      <c r="B110" s="5">
        <v>46174</v>
      </c>
      <c r="C110" s="6">
        <v>600</v>
      </c>
      <c r="D110" s="7">
        <v>91.4</v>
      </c>
      <c r="E110" s="7">
        <f>IF(OR(A110="",SUMIFS(C$4:C110,A$4:A110,A110)=0),"",SUMPRODUCT((A$4:A110=A110)*(C$4:C110)*(D$4:D110))/SUMIFS(C$4:C110,A$4:A110,A110))</f>
        <v>91.4</v>
      </c>
      <c r="F110" s="6">
        <v>5</v>
      </c>
      <c r="G110" s="6">
        <f t="shared" si="3"/>
        <v>595</v>
      </c>
    </row>
    <row r="111" spans="1:7" x14ac:dyDescent="0.4">
      <c r="A111" s="4" t="s">
        <v>9</v>
      </c>
      <c r="B111" s="5">
        <v>45931</v>
      </c>
      <c r="C111" s="6"/>
      <c r="D111" s="7">
        <v>78</v>
      </c>
      <c r="E111" s="7" t="str">
        <f>IF(OR(A111="",SUMIFS(C$4:C111,A$4:A111,A111)=0),"",SUMPRODUCT((A$4:A111=A111)*(C$4:C111)*(D$4:D111))/SUMIFS(C$4:C111,A$4:A111,A111))</f>
        <v/>
      </c>
      <c r="F111" s="6"/>
      <c r="G111" s="6" t="str">
        <f t="shared" si="3"/>
        <v/>
      </c>
    </row>
    <row r="112" spans="1:7" x14ac:dyDescent="0.4">
      <c r="A112" s="4" t="s">
        <v>9</v>
      </c>
      <c r="B112" s="5">
        <v>45962</v>
      </c>
      <c r="C112" s="6"/>
      <c r="D112" s="7">
        <v>78</v>
      </c>
      <c r="E112" s="7" t="str">
        <f>IF(OR(A112="",SUMIFS(C$4:C112,A$4:A112,A112)=0),"",SUMPRODUCT((A$4:A112=A112)*(C$4:C112)*(D$4:D112))/SUMIFS(C$4:C112,A$4:A112,A112))</f>
        <v/>
      </c>
      <c r="F112" s="6"/>
      <c r="G112" s="6" t="str">
        <f t="shared" si="3"/>
        <v/>
      </c>
    </row>
    <row r="113" spans="1:7" x14ac:dyDescent="0.4">
      <c r="A113" s="4" t="s">
        <v>9</v>
      </c>
      <c r="B113" s="5">
        <v>45992</v>
      </c>
      <c r="C113" s="6"/>
      <c r="D113" s="7">
        <v>78</v>
      </c>
      <c r="E113" s="7" t="str">
        <f>IF(OR(A113="",SUMIFS(C$4:C113,A$4:A113,A113)=0),"",SUMPRODUCT((A$4:A113=A113)*(C$4:C113)*(D$4:D113))/SUMIFS(C$4:C113,A$4:A113,A113))</f>
        <v/>
      </c>
      <c r="F113" s="6"/>
      <c r="G113" s="6" t="str">
        <f t="shared" si="3"/>
        <v/>
      </c>
    </row>
    <row r="114" spans="1:7" x14ac:dyDescent="0.4">
      <c r="A114" s="4" t="s">
        <v>9</v>
      </c>
      <c r="B114" s="5">
        <v>46023</v>
      </c>
      <c r="C114" s="6"/>
      <c r="D114" s="7">
        <v>78</v>
      </c>
      <c r="E114" s="7" t="str">
        <f>IF(OR(A114="",SUMIFS(C$4:C114,A$4:A114,A114)=0),"",SUMPRODUCT((A$4:A114=A114)*(C$4:C114)*(D$4:D114))/SUMIFS(C$4:C114,A$4:A114,A114))</f>
        <v/>
      </c>
      <c r="F114" s="6"/>
      <c r="G114" s="6" t="str">
        <f t="shared" si="3"/>
        <v/>
      </c>
    </row>
    <row r="115" spans="1:7" x14ac:dyDescent="0.4">
      <c r="A115" s="4" t="s">
        <v>9</v>
      </c>
      <c r="B115" s="5">
        <v>46054</v>
      </c>
      <c r="C115" s="6"/>
      <c r="D115" s="7">
        <v>78</v>
      </c>
      <c r="E115" s="7" t="str">
        <f>IF(OR(A115="",SUMIFS(C$4:C115,A$4:A115,A115)=0),"",SUMPRODUCT((A$4:A115=A115)*(C$4:C115)*(D$4:D115))/SUMIFS(C$4:C115,A$4:A115,A115))</f>
        <v/>
      </c>
      <c r="F115" s="6"/>
      <c r="G115" s="6" t="str">
        <f t="shared" si="3"/>
        <v/>
      </c>
    </row>
    <row r="116" spans="1:7" x14ac:dyDescent="0.4">
      <c r="A116" s="4" t="s">
        <v>9</v>
      </c>
      <c r="B116" s="5">
        <v>46082</v>
      </c>
      <c r="C116" s="6">
        <v>70</v>
      </c>
      <c r="D116" s="7">
        <v>89.9</v>
      </c>
      <c r="E116" s="7">
        <f>IF(OR(A116="",SUMIFS(C$4:C116,A$4:A116,A116)=0),"",SUMPRODUCT((A$4:A116=A116)*(C$4:C116)*(D$4:D116))/SUMIFS(C$4:C116,A$4:A116,A116))</f>
        <v>89.9</v>
      </c>
      <c r="F116" s="6"/>
      <c r="G116" s="6">
        <f t="shared" si="3"/>
        <v>70</v>
      </c>
    </row>
    <row r="117" spans="1:7" x14ac:dyDescent="0.4">
      <c r="A117" s="4" t="s">
        <v>9</v>
      </c>
      <c r="B117" s="5">
        <v>46113</v>
      </c>
      <c r="C117" s="6">
        <v>70</v>
      </c>
      <c r="D117" s="7">
        <v>89.9</v>
      </c>
      <c r="E117" s="7">
        <f>IF(OR(A117="",SUMIFS(C$4:C117,A$4:A117,A117)=0),"",SUMPRODUCT((A$4:A117=A117)*(C$4:C117)*(D$4:D117))/SUMIFS(C$4:C117,A$4:A117,A117))</f>
        <v>89.9</v>
      </c>
      <c r="F117" s="6">
        <v>70</v>
      </c>
      <c r="G117" s="6">
        <f t="shared" si="3"/>
        <v>0</v>
      </c>
    </row>
    <row r="118" spans="1:7" x14ac:dyDescent="0.4">
      <c r="A118" s="4" t="s">
        <v>9</v>
      </c>
      <c r="B118" s="5">
        <v>46143</v>
      </c>
      <c r="C118" s="6">
        <v>150</v>
      </c>
      <c r="D118" s="7">
        <v>96.49</v>
      </c>
      <c r="E118" s="7">
        <f>IF(OR(A118="",SUMIFS(C$4:C118,A$4:A118,A118)=0),"",SUMPRODUCT((A$4:A118=A118)*(C$4:C118)*(D$4:D118))/SUMIFS(C$4:C118,A$4:A118,A118))</f>
        <v>93.308620689655172</v>
      </c>
      <c r="F118" s="6"/>
      <c r="G118" s="6">
        <f t="shared" si="3"/>
        <v>150</v>
      </c>
    </row>
    <row r="119" spans="1:7" x14ac:dyDescent="0.4">
      <c r="A119" s="4" t="s">
        <v>9</v>
      </c>
      <c r="B119" s="5">
        <v>46174</v>
      </c>
      <c r="C119" s="6">
        <v>150</v>
      </c>
      <c r="D119" s="7">
        <v>96.49</v>
      </c>
      <c r="E119" s="7">
        <f>IF(OR(A119="",SUMIFS(C$4:C119,A$4:A119,A119)=0),"",SUMPRODUCT((A$4:A119=A119)*(C$4:C119)*(D$4:D119))/SUMIFS(C$4:C119,A$4:A119,A119))</f>
        <v>94.393181818181816</v>
      </c>
      <c r="F119" s="6">
        <v>61</v>
      </c>
      <c r="G119" s="6">
        <f t="shared" si="3"/>
        <v>89</v>
      </c>
    </row>
    <row r="120" spans="1:7" x14ac:dyDescent="0.4">
      <c r="A120" s="4" t="s">
        <v>9</v>
      </c>
      <c r="B120" s="5">
        <v>46204</v>
      </c>
      <c r="C120" s="6">
        <v>89</v>
      </c>
      <c r="D120" s="7">
        <v>96.49</v>
      </c>
      <c r="E120" s="7">
        <f>IF(OR(A120="",SUMIFS(C$4:C120,A$4:A120,A120)=0),"",SUMPRODUCT((A$4:A120=A120)*(C$4:C120)*(D$4:D120))/SUMIFS(C$4:C120,A$4:A120,A120))</f>
        <v>94.745954631379959</v>
      </c>
      <c r="F120" s="6">
        <v>85</v>
      </c>
      <c r="G120" s="6">
        <f t="shared" si="3"/>
        <v>4</v>
      </c>
    </row>
    <row r="121" spans="1:7" x14ac:dyDescent="0.4">
      <c r="A121" s="4" t="s">
        <v>9</v>
      </c>
      <c r="B121" s="5">
        <v>46235</v>
      </c>
      <c r="C121" s="6">
        <v>4</v>
      </c>
      <c r="D121" s="7">
        <v>96.49</v>
      </c>
      <c r="E121" s="7">
        <f>IF(OR(A121="",SUMIFS(C$4:C121,A$4:A121,A121)=0),"",SUMPRODUCT((A$4:A121=A121)*(C$4:C121)*(D$4:D121))/SUMIFS(C$4:C121,A$4:A121,A121))</f>
        <v>94.759043151969976</v>
      </c>
      <c r="F121" s="6">
        <v>30</v>
      </c>
      <c r="G121" s="6">
        <f t="shared" si="3"/>
        <v>-26</v>
      </c>
    </row>
    <row r="122" spans="1:7" x14ac:dyDescent="0.4">
      <c r="A122" s="4" t="s">
        <v>9</v>
      </c>
      <c r="B122" s="5">
        <v>46266</v>
      </c>
      <c r="C122" s="6">
        <v>274</v>
      </c>
      <c r="D122" s="7">
        <v>106.66</v>
      </c>
      <c r="E122" s="7">
        <f>IF(OR(A122="",SUMIFS(C$4:C122,A$4:A122,A122)=0),"",SUMPRODUCT((A$4:A122=A122)*(C$4:C122)*(D$4:D122))/SUMIFS(C$4:C122,A$4:A122,A122))</f>
        <v>98.799764560099135</v>
      </c>
      <c r="F122" s="6">
        <v>30</v>
      </c>
      <c r="G122" s="6">
        <f t="shared" si="3"/>
        <v>244</v>
      </c>
    </row>
    <row r="123" spans="1:7" x14ac:dyDescent="0.4">
      <c r="A123" s="4" t="s">
        <v>9</v>
      </c>
      <c r="B123" s="5">
        <v>46296</v>
      </c>
      <c r="C123" s="6">
        <v>444</v>
      </c>
      <c r="D123" s="7">
        <v>105.88</v>
      </c>
      <c r="E123" s="7">
        <f>IF(OR(A123="",SUMIFS(C$4:C123,A$4:A123,A123)=0),"",SUMPRODUCT((A$4:A123=A123)*(C$4:C123)*(D$4:D123))/SUMIFS(C$4:C123,A$4:A123,A123))</f>
        <v>101.31265387689848</v>
      </c>
      <c r="F123" s="6">
        <v>25</v>
      </c>
      <c r="G123" s="6">
        <f t="shared" si="3"/>
        <v>419</v>
      </c>
    </row>
    <row r="124" spans="1:7" x14ac:dyDescent="0.4">
      <c r="A124" s="4" t="s">
        <v>9</v>
      </c>
      <c r="B124" s="5">
        <v>46054</v>
      </c>
      <c r="C124" s="6"/>
      <c r="D124" s="7"/>
      <c r="E124" s="7">
        <f>IF(OR(A124="",SUMIFS(C$4:C124,A$4:A124,A124)=0),"",SUMPRODUCT((A$4:A124=A124)*(C$4:C124)*(D$4:D124))/SUMIFS(C$4:C124,A$4:A124,A124))</f>
        <v>101.31265387689848</v>
      </c>
      <c r="F124" s="6"/>
      <c r="G124" s="6" t="str">
        <f t="shared" si="3"/>
        <v/>
      </c>
    </row>
    <row r="125" spans="1:7" x14ac:dyDescent="0.4">
      <c r="A125" s="4" t="s">
        <v>9</v>
      </c>
      <c r="B125" s="5">
        <v>46113</v>
      </c>
      <c r="C125" s="6">
        <v>230</v>
      </c>
      <c r="D125" s="7">
        <v>98.5</v>
      </c>
      <c r="E125" s="7">
        <f>IF(OR(A125="",SUMIFS(C$4:C125,A$4:A125,A125)=0),"",SUMPRODUCT((A$4:A125=A125)*(C$4:C125)*(D$4:D125))/SUMIFS(C$4:C125,A$4:A125,A125))</f>
        <v>100.87584740040514</v>
      </c>
      <c r="F125" s="6">
        <v>80</v>
      </c>
      <c r="G125" s="6">
        <f t="shared" si="3"/>
        <v>150</v>
      </c>
    </row>
    <row r="126" spans="1:7" x14ac:dyDescent="0.4">
      <c r="A126" s="4" t="s">
        <v>9</v>
      </c>
      <c r="B126" s="5">
        <v>46235</v>
      </c>
      <c r="C126" s="6">
        <v>300</v>
      </c>
      <c r="D126" s="7">
        <v>106.8</v>
      </c>
      <c r="E126" s="7">
        <f>IF(OR(A126="",SUMIFS(C$4:C126,A$4:A126,A126)=0),"",SUMPRODUCT((A$4:A126=A126)*(C$4:C126)*(D$4:D126))/SUMIFS(C$4:C126,A$4:A126,A126))</f>
        <v>101.87373947220662</v>
      </c>
      <c r="F126" s="6"/>
      <c r="G126" s="6">
        <f t="shared" si="3"/>
        <v>300</v>
      </c>
    </row>
    <row r="127" spans="1:7" x14ac:dyDescent="0.4">
      <c r="A127" s="4" t="s">
        <v>9</v>
      </c>
      <c r="B127" s="5">
        <v>46266</v>
      </c>
      <c r="C127" s="6">
        <v>200</v>
      </c>
      <c r="D127" s="7">
        <v>104.8</v>
      </c>
      <c r="E127" s="7">
        <f>IF(OR(A127="",SUMIFS(C$4:C127,A$4:A127,A127)=0),"",SUMPRODUCT((A$4:A127=A127)*(C$4:C127)*(D$4:D127))/SUMIFS(C$4:C127,A$4:A127,A127))</f>
        <v>102.16917213528521</v>
      </c>
      <c r="F127" s="6"/>
      <c r="G127" s="6">
        <f t="shared" si="3"/>
        <v>200</v>
      </c>
    </row>
    <row r="128" spans="1:7" x14ac:dyDescent="0.4">
      <c r="A128" s="4" t="s">
        <v>10</v>
      </c>
      <c r="B128" s="5">
        <v>45931</v>
      </c>
      <c r="C128" s="6"/>
      <c r="D128" s="7">
        <v>177.6</v>
      </c>
      <c r="E128" s="7" t="str">
        <f>IF(OR(A128="",SUMIFS(C$4:C128,A$4:A128,A128)=0),"",SUMPRODUCT((A$4:A128=A128)*(C$4:C128)*(D$4:D128))/SUMIFS(C$4:C128,A$4:A128,A128))</f>
        <v/>
      </c>
      <c r="F128" s="6"/>
      <c r="G128" s="6" t="str">
        <f t="shared" si="3"/>
        <v/>
      </c>
    </row>
    <row r="129" spans="1:7" x14ac:dyDescent="0.4">
      <c r="A129" s="4" t="s">
        <v>10</v>
      </c>
      <c r="B129" s="5">
        <v>45962</v>
      </c>
      <c r="C129" s="6"/>
      <c r="D129" s="7">
        <v>177.6</v>
      </c>
      <c r="E129" s="7" t="str">
        <f>IF(OR(A129="",SUMIFS(C$4:C129,A$4:A129,A129)=0),"",SUMPRODUCT((A$4:A129=A129)*(C$4:C129)*(D$4:D129))/SUMIFS(C$4:C129,A$4:A129,A129))</f>
        <v/>
      </c>
      <c r="F129" s="6"/>
      <c r="G129" s="6" t="str">
        <f t="shared" si="3"/>
        <v/>
      </c>
    </row>
    <row r="130" spans="1:7" x14ac:dyDescent="0.4">
      <c r="A130" s="4" t="s">
        <v>10</v>
      </c>
      <c r="B130" s="5">
        <v>45992</v>
      </c>
      <c r="C130" s="6">
        <v>27</v>
      </c>
      <c r="D130" s="7">
        <v>177.6</v>
      </c>
      <c r="E130" s="7">
        <f>IF(OR(A130="",SUMIFS(C$4:C130,A$4:A130,A130)=0),"",SUMPRODUCT((A$4:A130=A130)*(C$4:C130)*(D$4:D130))/SUMIFS(C$4:C130,A$4:A130,A130))</f>
        <v>177.6</v>
      </c>
      <c r="F130" s="6"/>
      <c r="G130" s="6">
        <f t="shared" si="3"/>
        <v>27</v>
      </c>
    </row>
    <row r="131" spans="1:7" x14ac:dyDescent="0.4">
      <c r="A131" s="4" t="s">
        <v>10</v>
      </c>
      <c r="B131" s="5">
        <v>46023</v>
      </c>
      <c r="C131" s="6">
        <v>27</v>
      </c>
      <c r="D131" s="7">
        <v>177.6</v>
      </c>
      <c r="E131" s="7">
        <f>IF(OR(A131="",SUMIFS(C$4:C131,A$4:A131,A131)=0),"",SUMPRODUCT((A$4:A131=A131)*(C$4:C131)*(D$4:D131))/SUMIFS(C$4:C131,A$4:A131,A131))</f>
        <v>177.6</v>
      </c>
      <c r="F131" s="6">
        <v>27</v>
      </c>
      <c r="G131" s="6">
        <f t="shared" si="3"/>
        <v>0</v>
      </c>
    </row>
    <row r="132" spans="1:7" x14ac:dyDescent="0.4">
      <c r="A132" s="4" t="s">
        <v>10</v>
      </c>
      <c r="B132" s="5">
        <v>46054</v>
      </c>
      <c r="C132" s="6">
        <v>139</v>
      </c>
      <c r="D132" s="7">
        <v>177.6</v>
      </c>
      <c r="E132" s="7">
        <f>IF(OR(A132="",SUMIFS(C$4:C132,A$4:A132,A132)=0),"",SUMPRODUCT((A$4:A132=A132)*(C$4:C132)*(D$4:D132))/SUMIFS(C$4:C132,A$4:A132,A132))</f>
        <v>177.59999999999997</v>
      </c>
      <c r="F132" s="6">
        <v>20</v>
      </c>
      <c r="G132" s="6">
        <f t="shared" ref="G132:G163" si="4">IF(C132="","",C132-IF(ISNUMBER(F132),F132,0))</f>
        <v>119</v>
      </c>
    </row>
    <row r="133" spans="1:7" x14ac:dyDescent="0.4">
      <c r="A133" s="4" t="s">
        <v>10</v>
      </c>
      <c r="B133" s="5">
        <v>46082</v>
      </c>
      <c r="C133" s="6">
        <v>119</v>
      </c>
      <c r="D133" s="7">
        <v>177.6</v>
      </c>
      <c r="E133" s="7">
        <f>IF(OR(A133="",SUMIFS(C$4:C133,A$4:A133,A133)=0),"",SUMPRODUCT((A$4:A133=A133)*(C$4:C133)*(D$4:D133))/SUMIFS(C$4:C133,A$4:A133,A133))</f>
        <v>177.6</v>
      </c>
      <c r="F133" s="6"/>
      <c r="G133" s="6">
        <f t="shared" si="4"/>
        <v>119</v>
      </c>
    </row>
    <row r="134" spans="1:7" x14ac:dyDescent="0.4">
      <c r="A134" s="4" t="s">
        <v>10</v>
      </c>
      <c r="B134" s="5">
        <v>46113</v>
      </c>
      <c r="C134" s="6">
        <v>119</v>
      </c>
      <c r="D134" s="7">
        <v>177.6</v>
      </c>
      <c r="E134" s="7">
        <f>IF(OR(A134="",SUMIFS(C$4:C134,A$4:A134,A134)=0),"",SUMPRODUCT((A$4:A134=A134)*(C$4:C134)*(D$4:D134))/SUMIFS(C$4:C134,A$4:A134,A134))</f>
        <v>177.59999999999997</v>
      </c>
      <c r="F134" s="6">
        <v>49</v>
      </c>
      <c r="G134" s="6">
        <f t="shared" si="4"/>
        <v>70</v>
      </c>
    </row>
    <row r="135" spans="1:7" x14ac:dyDescent="0.4">
      <c r="A135" s="4" t="s">
        <v>10</v>
      </c>
      <c r="B135" s="5">
        <v>46143</v>
      </c>
      <c r="C135" s="6">
        <v>70</v>
      </c>
      <c r="D135" s="7">
        <v>177.6</v>
      </c>
      <c r="E135" s="7">
        <f>IF(OR(A135="",SUMIFS(C$4:C135,A$4:A135,A135)=0),"",SUMPRODUCT((A$4:A135=A135)*(C$4:C135)*(D$4:D135))/SUMIFS(C$4:C135,A$4:A135,A135))</f>
        <v>177.6</v>
      </c>
      <c r="F135" s="6"/>
      <c r="G135" s="6">
        <f t="shared" si="4"/>
        <v>70</v>
      </c>
    </row>
    <row r="136" spans="1:7" x14ac:dyDescent="0.4">
      <c r="A136" s="4" t="s">
        <v>10</v>
      </c>
      <c r="B136" s="5">
        <v>46174</v>
      </c>
      <c r="C136" s="6">
        <v>70</v>
      </c>
      <c r="D136" s="7">
        <v>177.6</v>
      </c>
      <c r="E136" s="7">
        <f>IF(OR(A136="",SUMIFS(C$4:C136,A$4:A136,A136)=0),"",SUMPRODUCT((A$4:A136=A136)*(C$4:C136)*(D$4:D136))/SUMIFS(C$4:C136,A$4:A136,A136))</f>
        <v>177.6</v>
      </c>
      <c r="F136" s="6">
        <v>15</v>
      </c>
      <c r="G136" s="6">
        <f t="shared" si="4"/>
        <v>55</v>
      </c>
    </row>
    <row r="137" spans="1:7" x14ac:dyDescent="0.4">
      <c r="A137" s="4" t="s">
        <v>10</v>
      </c>
      <c r="B137" s="5">
        <v>46204</v>
      </c>
      <c r="C137" s="6">
        <v>55</v>
      </c>
      <c r="D137" s="7">
        <v>177.6</v>
      </c>
      <c r="E137" s="7">
        <f>IF(OR(A137="",SUMIFS(C$4:C137,A$4:A137,A137)=0),"",SUMPRODUCT((A$4:A137=A137)*(C$4:C137)*(D$4:D137))/SUMIFS(C$4:C137,A$4:A137,A137))</f>
        <v>177.6</v>
      </c>
      <c r="F137" s="6">
        <v>46</v>
      </c>
      <c r="G137" s="6">
        <f t="shared" si="4"/>
        <v>9</v>
      </c>
    </row>
    <row r="138" spans="1:7" x14ac:dyDescent="0.4">
      <c r="A138" s="4" t="s">
        <v>10</v>
      </c>
      <c r="B138" s="5">
        <v>46235</v>
      </c>
      <c r="C138" s="6">
        <v>209</v>
      </c>
      <c r="D138" s="7">
        <v>200.58</v>
      </c>
      <c r="E138" s="7">
        <f>IF(OR(A138="",SUMIFS(C$4:C138,A$4:A138,A138)=0),"",SUMPRODUCT((A$4:A138=A138)*(C$4:C138)*(D$4:D138))/SUMIFS(C$4:C138,A$4:A138,A138))</f>
        <v>183.35188023952097</v>
      </c>
      <c r="F138" s="6">
        <v>76</v>
      </c>
      <c r="G138" s="6">
        <f t="shared" si="4"/>
        <v>133</v>
      </c>
    </row>
    <row r="139" spans="1:7" x14ac:dyDescent="0.4">
      <c r="A139" s="4" t="s">
        <v>10</v>
      </c>
      <c r="B139" s="5">
        <v>46266</v>
      </c>
      <c r="C139" s="6">
        <v>133</v>
      </c>
      <c r="D139" s="7">
        <v>200.58</v>
      </c>
      <c r="E139" s="7">
        <f>IF(OR(A139="",SUMIFS(C$4:C139,A$4:A139,A139)=0),"",SUMPRODUCT((A$4:A139=A139)*(C$4:C139)*(D$4:D139))/SUMIFS(C$4:C139,A$4:A139,A139))</f>
        <v>185.71896694214877</v>
      </c>
      <c r="F139" s="6">
        <v>60</v>
      </c>
      <c r="G139" s="6">
        <f t="shared" si="4"/>
        <v>73</v>
      </c>
    </row>
    <row r="140" spans="1:7" x14ac:dyDescent="0.4">
      <c r="A140" s="4" t="s">
        <v>10</v>
      </c>
      <c r="B140" s="5">
        <v>46296</v>
      </c>
      <c r="C140" s="6">
        <v>73</v>
      </c>
      <c r="D140" s="7">
        <v>200.58</v>
      </c>
      <c r="E140" s="7">
        <f>IF(OR(A140="",SUMIFS(C$4:C140,A$4:A140,A140)=0),"",SUMPRODUCT((A$4:A140=A140)*(C$4:C140)*(D$4:D140))/SUMIFS(C$4:C140,A$4:A140,A140))</f>
        <v>186.76109510086457</v>
      </c>
      <c r="F140" s="6">
        <v>50</v>
      </c>
      <c r="G140" s="6">
        <f t="shared" si="4"/>
        <v>23</v>
      </c>
    </row>
    <row r="141" spans="1:7" x14ac:dyDescent="0.4">
      <c r="A141" s="4" t="s">
        <v>10</v>
      </c>
      <c r="B141" s="5">
        <v>46023</v>
      </c>
      <c r="C141" s="6">
        <v>200</v>
      </c>
      <c r="D141" s="7">
        <v>182.6</v>
      </c>
      <c r="E141" s="7">
        <f>IF(OR(A141="",SUMIFS(C$4:C141,A$4:A141,A141)=0),"",SUMPRODUCT((A$4:A141=A141)*(C$4:C141)*(D$4:D141))/SUMIFS(C$4:C141,A$4:A141,A141))</f>
        <v>186.0904915390814</v>
      </c>
      <c r="F141" s="6">
        <v>61</v>
      </c>
      <c r="G141" s="6">
        <f t="shared" si="4"/>
        <v>139</v>
      </c>
    </row>
    <row r="142" spans="1:7" x14ac:dyDescent="0.4">
      <c r="A142" s="4" t="s">
        <v>10</v>
      </c>
      <c r="B142" s="5">
        <v>46054</v>
      </c>
      <c r="C142" s="6"/>
      <c r="D142" s="7"/>
      <c r="E142" s="7">
        <f>IF(OR(A142="",SUMIFS(C$4:C142,A$4:A142,A142)=0),"",SUMPRODUCT((A$4:A142=A142)*(C$4:C142)*(D$4:D142))/SUMIFS(C$4:C142,A$4:A142,A142))</f>
        <v>186.0904915390814</v>
      </c>
      <c r="F142" s="6"/>
      <c r="G142" s="6" t="str">
        <f t="shared" si="4"/>
        <v/>
      </c>
    </row>
    <row r="143" spans="1:7" x14ac:dyDescent="0.4">
      <c r="A143" s="4" t="s">
        <v>10</v>
      </c>
      <c r="B143" s="5">
        <v>46204</v>
      </c>
      <c r="C143" s="6">
        <v>200</v>
      </c>
      <c r="D143" s="7">
        <v>206.9</v>
      </c>
      <c r="E143" s="7">
        <f>IF(OR(A143="",SUMIFS(C$4:C143,A$4:A143,A143)=0),"",SUMPRODUCT((A$4:A143=A143)*(C$4:C143)*(D$4:D143))/SUMIFS(C$4:C143,A$4:A143,A143))</f>
        <v>188.97869535045112</v>
      </c>
      <c r="F143" s="6"/>
      <c r="G143" s="6">
        <f t="shared" si="4"/>
        <v>200</v>
      </c>
    </row>
    <row r="144" spans="1:7" x14ac:dyDescent="0.4">
      <c r="A144" s="4"/>
      <c r="B144" s="5"/>
      <c r="C144" s="6"/>
      <c r="D144" s="7"/>
      <c r="E144" s="7" t="str">
        <f>IF(OR(A144="",SUMIFS(C$4:C144,A$4:A144,A144)=0),"",SUMPRODUCT((A$4:A144=A144)*(C$4:C144)*(D$4:D144))/SUMIFS(C$4:C144,A$4:A144,A144))</f>
        <v/>
      </c>
      <c r="F144" s="6"/>
      <c r="G144" s="6" t="str">
        <f t="shared" si="4"/>
        <v/>
      </c>
    </row>
    <row r="145" spans="1:7" x14ac:dyDescent="0.4">
      <c r="A145" s="4"/>
      <c r="B145" s="5"/>
      <c r="C145" s="6"/>
      <c r="D145" s="7"/>
      <c r="E145" s="7" t="str">
        <f>IF(OR(A145="",SUMIFS(C$4:C145,A$4:A145,A145)=0),"",SUMPRODUCT((A$4:A145=A145)*(C$4:C145)*(D$4:D145))/SUMIFS(C$4:C145,A$4:A145,A145))</f>
        <v/>
      </c>
      <c r="F145" s="6"/>
      <c r="G145" s="6" t="str">
        <f t="shared" si="4"/>
        <v/>
      </c>
    </row>
    <row r="146" spans="1:7" x14ac:dyDescent="0.4">
      <c r="A146" s="4"/>
      <c r="B146" s="5"/>
      <c r="C146" s="6"/>
      <c r="D146" s="7"/>
      <c r="E146" s="7" t="str">
        <f>IF(OR(A146="",SUMIFS(C$4:C146,A$4:A146,A146)=0),"",SUMPRODUCT((A$4:A146=A146)*(C$4:C146)*(D$4:D146))/SUMIFS(C$4:C146,A$4:A146,A146))</f>
        <v/>
      </c>
      <c r="F146" s="6"/>
      <c r="G146" s="6" t="str">
        <f t="shared" si="4"/>
        <v/>
      </c>
    </row>
    <row r="147" spans="1:7" x14ac:dyDescent="0.4">
      <c r="A147" s="4"/>
      <c r="B147" s="5"/>
      <c r="C147" s="6"/>
      <c r="D147" s="7"/>
      <c r="E147" s="7" t="str">
        <f>IF(OR(A147="",SUMIFS(C$4:C147,A$4:A147,A147)=0),"",SUMPRODUCT((A$4:A147=A147)*(C$4:C147)*(D$4:D147))/SUMIFS(C$4:C147,A$4:A147,A147))</f>
        <v/>
      </c>
      <c r="F147" s="6"/>
      <c r="G147" s="6" t="str">
        <f t="shared" si="4"/>
        <v/>
      </c>
    </row>
    <row r="148" spans="1:7" x14ac:dyDescent="0.4">
      <c r="A148" s="4"/>
      <c r="B148" s="5"/>
      <c r="C148" s="6"/>
      <c r="D148" s="7"/>
      <c r="E148" s="7" t="str">
        <f>IF(OR(A148="",SUMIFS(C$4:C148,A$4:A148,A148)=0),"",SUMPRODUCT((A$4:A148=A148)*(C$4:C148)*(D$4:D148))/SUMIFS(C$4:C148,A$4:A148,A148))</f>
        <v/>
      </c>
      <c r="F148" s="6"/>
      <c r="G148" s="6" t="str">
        <f t="shared" si="4"/>
        <v/>
      </c>
    </row>
    <row r="149" spans="1:7" x14ac:dyDescent="0.4">
      <c r="A149" s="4"/>
      <c r="B149" s="5"/>
      <c r="C149" s="6"/>
      <c r="D149" s="7"/>
      <c r="E149" s="7" t="str">
        <f>IF(OR(A149="",SUMIFS(C$4:C149,A$4:A149,A149)=0),"",SUMPRODUCT((A$4:A149=A149)*(C$4:C149)*(D$4:D149))/SUMIFS(C$4:C149,A$4:A149,A149))</f>
        <v/>
      </c>
      <c r="F149" s="6"/>
      <c r="G149" s="6" t="str">
        <f t="shared" si="4"/>
        <v/>
      </c>
    </row>
    <row r="150" spans="1:7" x14ac:dyDescent="0.4">
      <c r="A150" s="4"/>
      <c r="B150" s="5"/>
      <c r="C150" s="6"/>
      <c r="D150" s="7"/>
      <c r="E150" s="7" t="str">
        <f>IF(OR(A150="",SUMIFS(C$4:C150,A$4:A150,A150)=0),"",SUMPRODUCT((A$4:A150=A150)*(C$4:C150)*(D$4:D150))/SUMIFS(C$4:C150,A$4:A150,A150))</f>
        <v/>
      </c>
      <c r="F150" s="6"/>
      <c r="G150" s="6" t="str">
        <f t="shared" si="4"/>
        <v/>
      </c>
    </row>
    <row r="151" spans="1:7" x14ac:dyDescent="0.4">
      <c r="A151" s="4"/>
      <c r="B151" s="5"/>
      <c r="C151" s="6"/>
      <c r="D151" s="7"/>
      <c r="E151" s="7" t="str">
        <f>IF(OR(A151="",SUMIFS(C$4:C151,A$4:A151,A151)=0),"",SUMPRODUCT((A$4:A151=A151)*(C$4:C151)*(D$4:D151))/SUMIFS(C$4:C151,A$4:A151,A151))</f>
        <v/>
      </c>
      <c r="F151" s="6"/>
      <c r="G151" s="6" t="str">
        <f t="shared" si="4"/>
        <v/>
      </c>
    </row>
    <row r="152" spans="1:7" x14ac:dyDescent="0.4">
      <c r="A152" s="4"/>
      <c r="B152" s="5"/>
      <c r="C152" s="6"/>
      <c r="D152" s="7"/>
      <c r="E152" s="7" t="str">
        <f>IF(OR(A152="",SUMIFS(C$4:C152,A$4:A152,A152)=0),"",SUMPRODUCT((A$4:A152=A152)*(C$4:C152)*(D$4:D152))/SUMIFS(C$4:C152,A$4:A152,A152))</f>
        <v/>
      </c>
      <c r="F152" s="6"/>
      <c r="G152" s="6" t="str">
        <f t="shared" si="4"/>
        <v/>
      </c>
    </row>
    <row r="153" spans="1:7" x14ac:dyDescent="0.4">
      <c r="A153" s="4"/>
      <c r="B153" s="5"/>
      <c r="C153" s="6"/>
      <c r="D153" s="7"/>
      <c r="E153" s="7" t="str">
        <f>IF(OR(A153="",SUMIFS(C$4:C153,A$4:A153,A153)=0),"",SUMPRODUCT((A$4:A153=A153)*(C$4:C153)*(D$4:D153))/SUMIFS(C$4:C153,A$4:A153,A153))</f>
        <v/>
      </c>
      <c r="F153" s="6"/>
      <c r="G153" s="6" t="str">
        <f t="shared" si="4"/>
        <v/>
      </c>
    </row>
    <row r="154" spans="1:7" x14ac:dyDescent="0.4">
      <c r="A154" s="4"/>
      <c r="B154" s="5"/>
      <c r="C154" s="6"/>
      <c r="D154" s="7"/>
      <c r="E154" s="7" t="str">
        <f>IF(OR(A154="",SUMIFS(C$4:C154,A$4:A154,A154)=0),"",SUMPRODUCT((A$4:A154=A154)*(C$4:C154)*(D$4:D154))/SUMIFS(C$4:C154,A$4:A154,A154))</f>
        <v/>
      </c>
      <c r="F154" s="6"/>
      <c r="G154" s="6" t="str">
        <f t="shared" si="4"/>
        <v/>
      </c>
    </row>
    <row r="155" spans="1:7" x14ac:dyDescent="0.4">
      <c r="A155" s="4"/>
      <c r="B155" s="5"/>
      <c r="C155" s="6"/>
      <c r="D155" s="7"/>
      <c r="E155" s="7" t="str">
        <f>IF(OR(A155="",SUMIFS(C$4:C155,A$4:A155,A155)=0),"",SUMPRODUCT((A$4:A155=A155)*(C$4:C155)*(D$4:D155))/SUMIFS(C$4:C155,A$4:A155,A155))</f>
        <v/>
      </c>
      <c r="F155" s="6"/>
      <c r="G155" s="6" t="str">
        <f t="shared" si="4"/>
        <v/>
      </c>
    </row>
    <row r="156" spans="1:7" x14ac:dyDescent="0.4">
      <c r="A156" s="4"/>
      <c r="B156" s="5"/>
      <c r="C156" s="6"/>
      <c r="D156" s="7"/>
      <c r="E156" s="7" t="str">
        <f>IF(OR(A156="",SUMIFS(C$4:C156,A$4:A156,A156)=0),"",SUMPRODUCT((A$4:A156=A156)*(C$4:C156)*(D$4:D156))/SUMIFS(C$4:C156,A$4:A156,A156))</f>
        <v/>
      </c>
      <c r="F156" s="6"/>
      <c r="G156" s="6" t="str">
        <f t="shared" si="4"/>
        <v/>
      </c>
    </row>
    <row r="157" spans="1:7" x14ac:dyDescent="0.4">
      <c r="A157" s="4"/>
      <c r="B157" s="5"/>
      <c r="C157" s="6"/>
      <c r="D157" s="7"/>
      <c r="E157" s="7" t="str">
        <f>IF(OR(A157="",SUMIFS(C$4:C157,A$4:A157,A157)=0),"",SUMPRODUCT((A$4:A157=A157)*(C$4:C157)*(D$4:D157))/SUMIFS(C$4:C157,A$4:A157,A157))</f>
        <v/>
      </c>
      <c r="F157" s="6"/>
      <c r="G157" s="6" t="str">
        <f t="shared" si="4"/>
        <v/>
      </c>
    </row>
    <row r="158" spans="1:7" x14ac:dyDescent="0.4">
      <c r="A158" s="4"/>
      <c r="B158" s="5"/>
      <c r="C158" s="6"/>
      <c r="D158" s="7"/>
      <c r="E158" s="7" t="str">
        <f>IF(OR(A158="",SUMIFS(C$4:C158,A$4:A158,A158)=0),"",SUMPRODUCT((A$4:A158=A158)*(C$4:C158)*(D$4:D158))/SUMIFS(C$4:C158,A$4:A158,A158))</f>
        <v/>
      </c>
      <c r="F158" s="6"/>
      <c r="G158" s="6" t="str">
        <f t="shared" si="4"/>
        <v/>
      </c>
    </row>
    <row r="159" spans="1:7" x14ac:dyDescent="0.4">
      <c r="A159" s="4"/>
      <c r="B159" s="5"/>
      <c r="C159" s="6"/>
      <c r="D159" s="7"/>
      <c r="E159" s="7" t="str">
        <f>IF(OR(A159="",SUMIFS(C$4:C159,A$4:A159,A159)=0),"",SUMPRODUCT((A$4:A159=A159)*(C$4:C159)*(D$4:D159))/SUMIFS(C$4:C159,A$4:A159,A159))</f>
        <v/>
      </c>
      <c r="F159" s="6"/>
      <c r="G159" s="6" t="str">
        <f t="shared" si="4"/>
        <v/>
      </c>
    </row>
    <row r="160" spans="1:7" x14ac:dyDescent="0.4">
      <c r="A160" s="4"/>
      <c r="B160" s="5"/>
      <c r="C160" s="6"/>
      <c r="D160" s="7"/>
      <c r="E160" s="7" t="str">
        <f>IF(OR(A160="",SUMIFS(C$4:C160,A$4:A160,A160)=0),"",SUMPRODUCT((A$4:A160=A160)*(C$4:C160)*(D$4:D160))/SUMIFS(C$4:C160,A$4:A160,A160))</f>
        <v/>
      </c>
      <c r="F160" s="6"/>
      <c r="G160" s="6" t="str">
        <f t="shared" si="4"/>
        <v/>
      </c>
    </row>
    <row r="161" spans="1:7" x14ac:dyDescent="0.4">
      <c r="A161" s="4"/>
      <c r="B161" s="5"/>
      <c r="C161" s="6"/>
      <c r="D161" s="7"/>
      <c r="E161" s="7" t="str">
        <f>IF(OR(A161="",SUMIFS(C$4:C161,A$4:A161,A161)=0),"",SUMPRODUCT((A$4:A161=A161)*(C$4:C161)*(D$4:D161))/SUMIFS(C$4:C161,A$4:A161,A161))</f>
        <v/>
      </c>
      <c r="F161" s="6"/>
      <c r="G161" s="6" t="str">
        <f t="shared" si="4"/>
        <v/>
      </c>
    </row>
    <row r="162" spans="1:7" x14ac:dyDescent="0.4">
      <c r="A162" s="4"/>
      <c r="B162" s="5"/>
      <c r="C162" s="6"/>
      <c r="D162" s="7"/>
      <c r="E162" s="7" t="str">
        <f>IF(OR(A162="",SUMIFS(C$4:C162,A$4:A162,A162)=0),"",SUMPRODUCT((A$4:A162=A162)*(C$4:C162)*(D$4:D162))/SUMIFS(C$4:C162,A$4:A162,A162))</f>
        <v/>
      </c>
      <c r="F162" s="6"/>
      <c r="G162" s="6" t="str">
        <f t="shared" si="4"/>
        <v/>
      </c>
    </row>
    <row r="163" spans="1:7" x14ac:dyDescent="0.4">
      <c r="A163" s="4"/>
      <c r="B163" s="5"/>
      <c r="C163" s="6"/>
      <c r="D163" s="7"/>
      <c r="E163" s="7" t="str">
        <f>IF(OR(A163="",SUMIFS(C$4:C163,A$4:A163,A163)=0),"",SUMPRODUCT((A$4:A163=A163)*(C$4:C163)*(D$4:D163))/SUMIFS(C$4:C163,A$4:A163,A163))</f>
        <v/>
      </c>
      <c r="F163" s="6"/>
      <c r="G163" s="6" t="str">
        <f t="shared" si="4"/>
        <v/>
      </c>
    </row>
    <row r="164" spans="1:7" x14ac:dyDescent="0.4">
      <c r="A164" s="4"/>
      <c r="B164" s="5"/>
      <c r="C164" s="6"/>
      <c r="D164" s="7"/>
      <c r="E164" s="7" t="str">
        <f>IF(OR(A164="",SUMIFS(C$4:C164,A$4:A164,A164)=0),"",SUMPRODUCT((A$4:A164=A164)*(C$4:C164)*(D$4:D164))/SUMIFS(C$4:C164,A$4:A164,A164))</f>
        <v/>
      </c>
      <c r="F164" s="6"/>
      <c r="G164" s="6" t="str">
        <f t="shared" ref="G164:G195" si="5">IF(C164="","",C164-IF(ISNUMBER(F164),F164,0))</f>
        <v/>
      </c>
    </row>
    <row r="165" spans="1:7" x14ac:dyDescent="0.4">
      <c r="A165" s="4"/>
      <c r="B165" s="5"/>
      <c r="C165" s="6"/>
      <c r="D165" s="7"/>
      <c r="E165" s="7" t="str">
        <f>IF(OR(A165="",SUMIFS(C$4:C165,A$4:A165,A165)=0),"",SUMPRODUCT((A$4:A165=A165)*(C$4:C165)*(D$4:D165))/SUMIFS(C$4:C165,A$4:A165,A165))</f>
        <v/>
      </c>
      <c r="F165" s="6"/>
      <c r="G165" s="6" t="str">
        <f t="shared" si="5"/>
        <v/>
      </c>
    </row>
    <row r="166" spans="1:7" x14ac:dyDescent="0.4">
      <c r="A166" s="4"/>
      <c r="B166" s="5"/>
      <c r="C166" s="6"/>
      <c r="D166" s="7"/>
      <c r="E166" s="7" t="str">
        <f>IF(OR(A166="",SUMIFS(C$4:C166,A$4:A166,A166)=0),"",SUMPRODUCT((A$4:A166=A166)*(C$4:C166)*(D$4:D166))/SUMIFS(C$4:C166,A$4:A166,A166))</f>
        <v/>
      </c>
      <c r="F166" s="6"/>
      <c r="G166" s="6" t="str">
        <f t="shared" si="5"/>
        <v/>
      </c>
    </row>
    <row r="167" spans="1:7" x14ac:dyDescent="0.4">
      <c r="A167" s="4"/>
      <c r="B167" s="5"/>
      <c r="C167" s="6"/>
      <c r="D167" s="7"/>
      <c r="E167" s="7" t="str">
        <f>IF(OR(A167="",SUMIFS(C$4:C167,A$4:A167,A167)=0),"",SUMPRODUCT((A$4:A167=A167)*(C$4:C167)*(D$4:D167))/SUMIFS(C$4:C167,A$4:A167,A167))</f>
        <v/>
      </c>
      <c r="F167" s="6"/>
      <c r="G167" s="6" t="str">
        <f t="shared" si="5"/>
        <v/>
      </c>
    </row>
    <row r="168" spans="1:7" x14ac:dyDescent="0.4">
      <c r="A168" s="4"/>
      <c r="B168" s="5"/>
      <c r="C168" s="6"/>
      <c r="D168" s="7"/>
      <c r="E168" s="7" t="str">
        <f>IF(OR(A168="",SUMIFS(C$4:C168,A$4:A168,A168)=0),"",SUMPRODUCT((A$4:A168=A168)*(C$4:C168)*(D$4:D168))/SUMIFS(C$4:C168,A$4:A168,A168))</f>
        <v/>
      </c>
      <c r="F168" s="6"/>
      <c r="G168" s="6" t="str">
        <f t="shared" si="5"/>
        <v/>
      </c>
    </row>
    <row r="169" spans="1:7" x14ac:dyDescent="0.4">
      <c r="A169" s="4"/>
      <c r="B169" s="5"/>
      <c r="C169" s="6"/>
      <c r="D169" s="7"/>
      <c r="E169" s="7" t="str">
        <f>IF(OR(A169="",SUMIFS(C$4:C169,A$4:A169,A169)=0),"",SUMPRODUCT((A$4:A169=A169)*(C$4:C169)*(D$4:D169))/SUMIFS(C$4:C169,A$4:A169,A169))</f>
        <v/>
      </c>
      <c r="F169" s="6"/>
      <c r="G169" s="6" t="str">
        <f t="shared" si="5"/>
        <v/>
      </c>
    </row>
    <row r="170" spans="1:7" x14ac:dyDescent="0.4">
      <c r="A170" s="4"/>
      <c r="B170" s="5"/>
      <c r="C170" s="6"/>
      <c r="D170" s="7"/>
      <c r="E170" s="7" t="str">
        <f>IF(OR(A170="",SUMIFS(C$4:C170,A$4:A170,A170)=0),"",SUMPRODUCT((A$4:A170=A170)*(C$4:C170)*(D$4:D170))/SUMIFS(C$4:C170,A$4:A170,A170))</f>
        <v/>
      </c>
      <c r="F170" s="6"/>
      <c r="G170" s="6" t="str">
        <f t="shared" si="5"/>
        <v/>
      </c>
    </row>
    <row r="171" spans="1:7" x14ac:dyDescent="0.4">
      <c r="A171" s="4"/>
      <c r="B171" s="5"/>
      <c r="C171" s="6"/>
      <c r="D171" s="7"/>
      <c r="E171" s="7" t="str">
        <f>IF(OR(A171="",SUMIFS(C$4:C171,A$4:A171,A171)=0),"",SUMPRODUCT((A$4:A171=A171)*(C$4:C171)*(D$4:D171))/SUMIFS(C$4:C171,A$4:A171,A171))</f>
        <v/>
      </c>
      <c r="F171" s="6"/>
      <c r="G171" s="6" t="str">
        <f t="shared" si="5"/>
        <v/>
      </c>
    </row>
    <row r="172" spans="1:7" x14ac:dyDescent="0.4">
      <c r="A172" s="4"/>
      <c r="B172" s="5"/>
      <c r="C172" s="6"/>
      <c r="D172" s="7"/>
      <c r="E172" s="7" t="str">
        <f>IF(OR(A172="",SUMIFS(C$4:C172,A$4:A172,A172)=0),"",SUMPRODUCT((A$4:A172=A172)*(C$4:C172)*(D$4:D172))/SUMIFS(C$4:C172,A$4:A172,A172))</f>
        <v/>
      </c>
      <c r="F172" s="6"/>
      <c r="G172" s="6" t="str">
        <f t="shared" si="5"/>
        <v/>
      </c>
    </row>
    <row r="173" spans="1:7" x14ac:dyDescent="0.4">
      <c r="A173" s="4"/>
      <c r="B173" s="5"/>
      <c r="C173" s="6"/>
      <c r="D173" s="7"/>
      <c r="E173" s="7" t="str">
        <f>IF(OR(A173="",SUMIFS(C$4:C173,A$4:A173,A173)=0),"",SUMPRODUCT((A$4:A173=A173)*(C$4:C173)*(D$4:D173))/SUMIFS(C$4:C173,A$4:A173,A173))</f>
        <v/>
      </c>
      <c r="F173" s="6"/>
      <c r="G173" s="6" t="str">
        <f t="shared" si="5"/>
        <v/>
      </c>
    </row>
    <row r="174" spans="1:7" x14ac:dyDescent="0.4">
      <c r="A174" s="8" t="s">
        <v>33</v>
      </c>
      <c r="B174" s="8"/>
      <c r="C174" s="9">
        <f>SUM(C4:C173)</f>
        <v>39885</v>
      </c>
      <c r="D174" s="10">
        <f>IF(SUM(C4:C173)=0,0,SUMPRODUCT(C4:C173,D4:D173)/SUM(C4:C173))</f>
        <v>102.21223141531901</v>
      </c>
      <c r="E174" s="10">
        <f>AVERAGEIF(E4:E173,"&lt;&gt;0")</f>
        <v>103.54768031412334</v>
      </c>
      <c r="F174" s="9">
        <f>SUM(F4:F173)</f>
        <v>15460</v>
      </c>
      <c r="G174" s="9">
        <f>SUM(G4:G173)</f>
        <v>24497</v>
      </c>
    </row>
  </sheetData>
  <phoneticPr fontId="5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모델명을 선택해주세요." promptTitle="모델 선택" prompt="드롭다운에서 모델을 선택하세요.">
          <x14:formula1>
            <xm:f>모델_마스터!$B$2:$B$9</xm:f>
          </x14:formula1>
          <xm:sqref>A4:A173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C18" sqref="C18"/>
    </sheetView>
  </sheetViews>
  <sheetFormatPr defaultRowHeight="17.399999999999999" x14ac:dyDescent="0.4"/>
  <cols>
    <col min="1" max="1" width="41" customWidth="1"/>
    <col min="2" max="2" width="23" customWidth="1"/>
    <col min="3" max="4" width="18" customWidth="1"/>
    <col min="5" max="5" width="21" customWidth="1"/>
    <col min="6" max="7" width="18" customWidth="1"/>
  </cols>
  <sheetData>
    <row r="1" spans="1:7" ht="25.05" customHeight="1" x14ac:dyDescent="0.4">
      <c r="A1" s="2" t="s">
        <v>34</v>
      </c>
    </row>
    <row r="3" spans="1:7" ht="22.05" customHeight="1" x14ac:dyDescent="0.4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</row>
    <row r="4" spans="1:7" x14ac:dyDescent="0.4">
      <c r="A4" s="4" t="s">
        <v>12</v>
      </c>
      <c r="B4" s="5">
        <v>45839</v>
      </c>
      <c r="C4" s="6"/>
      <c r="D4" s="7">
        <v>149.4</v>
      </c>
      <c r="E4" s="7" t="str">
        <f>IF(OR(A4="",SUMIFS(C$4:C4,A$4:A4,A4)=0),"",SUMPRODUCT((A$4:A4=A4)*(C$4:C4)*(D$4:D4))/SUMIFS(C$4:C4,A$4:A4,A4))</f>
        <v/>
      </c>
      <c r="F4" s="6"/>
      <c r="G4" s="6" t="str">
        <f t="shared" ref="G4:G41" si="0">IF(C4="","",C4-IF(ISNUMBER(F4),F4,0))</f>
        <v/>
      </c>
    </row>
    <row r="5" spans="1:7" x14ac:dyDescent="0.4">
      <c r="A5" s="4" t="s">
        <v>12</v>
      </c>
      <c r="B5" s="5">
        <v>46174</v>
      </c>
      <c r="C5" s="6">
        <v>84</v>
      </c>
      <c r="D5" s="7">
        <v>149.4</v>
      </c>
      <c r="E5" s="7">
        <f>IF(OR(A5="",SUMIFS(C$4:C5,A$4:A5,A5)=0),"",SUMPRODUCT((A$4:A5=A5)*(C$4:C5)*(D$4:D5))/SUMIFS(C$4:C5,A$4:A5,A5))</f>
        <v>149.4</v>
      </c>
      <c r="F5" s="6">
        <v>37</v>
      </c>
      <c r="G5" s="6">
        <f t="shared" si="0"/>
        <v>47</v>
      </c>
    </row>
    <row r="6" spans="1:7" x14ac:dyDescent="0.4">
      <c r="A6" s="4" t="s">
        <v>12</v>
      </c>
      <c r="B6" s="5">
        <v>46204</v>
      </c>
      <c r="C6" s="6">
        <v>260</v>
      </c>
      <c r="D6" s="7">
        <v>227</v>
      </c>
      <c r="E6" s="7">
        <f>IF(OR(A6="",SUMIFS(C$4:C6,A$4:A6,A6)=0),"",SUMPRODUCT((A$4:A6=A6)*(C$4:C6)*(D$4:D6))/SUMIFS(C$4:C6,A$4:A6,A6))</f>
        <v>208.0511627906977</v>
      </c>
      <c r="F6" s="6">
        <v>10</v>
      </c>
      <c r="G6" s="6">
        <f t="shared" si="0"/>
        <v>250</v>
      </c>
    </row>
    <row r="7" spans="1:7" x14ac:dyDescent="0.4">
      <c r="A7" s="4" t="s">
        <v>12</v>
      </c>
      <c r="B7" s="5">
        <v>46235</v>
      </c>
      <c r="C7" s="6">
        <v>297</v>
      </c>
      <c r="D7" s="7">
        <v>215.12</v>
      </c>
      <c r="E7" s="7">
        <f>IF(OR(A7="",SUMIFS(C$4:C7,A$4:A7,A7)=0),"",SUMPRODUCT((A$4:A7=A7)*(C$4:C7)*(D$4:D7))/SUMIFS(C$4:C7,A$4:A7,A7))</f>
        <v>211.32642745709828</v>
      </c>
      <c r="F7" s="6">
        <v>10</v>
      </c>
      <c r="G7" s="6">
        <f t="shared" si="0"/>
        <v>287</v>
      </c>
    </row>
    <row r="8" spans="1:7" x14ac:dyDescent="0.4">
      <c r="A8" s="4" t="s">
        <v>12</v>
      </c>
      <c r="B8" s="5">
        <v>46266</v>
      </c>
      <c r="C8" s="6">
        <v>287</v>
      </c>
      <c r="D8" s="7">
        <v>215.12</v>
      </c>
      <c r="E8" s="7">
        <f>IF(OR(A8="",SUMIFS(C$4:C8,A$4:A8,A8)=0),"",SUMPRODUCT((A$4:A8=A8)*(C$4:C8)*(D$4:D8))/SUMIFS(C$4:C8,A$4:A8,A8))</f>
        <v>212.49965517241378</v>
      </c>
      <c r="F8" s="6"/>
      <c r="G8" s="6">
        <f t="shared" si="0"/>
        <v>287</v>
      </c>
    </row>
    <row r="9" spans="1:7" x14ac:dyDescent="0.4">
      <c r="A9" s="4" t="s">
        <v>12</v>
      </c>
      <c r="B9" s="5">
        <v>46296</v>
      </c>
      <c r="C9" s="6">
        <v>287</v>
      </c>
      <c r="D9" s="7">
        <v>215.12</v>
      </c>
      <c r="E9" s="7">
        <f>IF(OR(A9="",SUMIFS(C$4:C9,A$4:A9,A9)=0),"",SUMPRODUCT((A$4:A9=A9)*(C$4:C9)*(D$4:D9))/SUMIFS(C$4:C9,A$4:A9,A9))</f>
        <v>213.11861728395061</v>
      </c>
      <c r="F9" s="6"/>
      <c r="G9" s="6">
        <f t="shared" si="0"/>
        <v>287</v>
      </c>
    </row>
    <row r="10" spans="1:7" x14ac:dyDescent="0.4">
      <c r="A10" s="4" t="s">
        <v>12</v>
      </c>
      <c r="B10" s="5">
        <v>46327</v>
      </c>
      <c r="C10" s="6">
        <v>287</v>
      </c>
      <c r="D10" s="7">
        <v>215.12</v>
      </c>
      <c r="E10" s="7">
        <f>IF(OR(A10="",SUMIFS(C$4:C10,A$4:A10,A10)=0),"",SUMPRODUCT((A$4:A10=A10)*(C$4:C10)*(D$4:D10))/SUMIFS(C$4:C10,A$4:A10,A10))</f>
        <v>213.50103861517977</v>
      </c>
      <c r="F10" s="6"/>
      <c r="G10" s="6">
        <f t="shared" si="0"/>
        <v>287</v>
      </c>
    </row>
    <row r="11" spans="1:7" x14ac:dyDescent="0.4">
      <c r="A11" s="4" t="s">
        <v>12</v>
      </c>
      <c r="B11" s="5">
        <v>46204</v>
      </c>
      <c r="C11" s="6">
        <v>260</v>
      </c>
      <c r="D11" s="7">
        <v>227</v>
      </c>
      <c r="E11" s="7">
        <f>IF(OR(A11="",SUMIFS(C$4:C11,A$4:A11,A11)=0),"",SUMPRODUCT((A$4:A11=A11)*(C$4:C11)*(D$4:D11))/SUMIFS(C$4:C11,A$4:A11,A11))</f>
        <v>215.49293984108968</v>
      </c>
      <c r="F11" s="6"/>
      <c r="G11" s="6">
        <f t="shared" si="0"/>
        <v>260</v>
      </c>
    </row>
    <row r="12" spans="1:7" x14ac:dyDescent="0.4">
      <c r="A12" s="4"/>
      <c r="B12" s="5"/>
      <c r="C12" s="6"/>
      <c r="D12" s="7"/>
      <c r="E12" s="7" t="str">
        <f>IF(OR(A12="",SUMIFS(C$4:C12,A$4:A12,A12)=0),"",SUMPRODUCT((A$4:A12=A12)*(C$4:C12)*(D$4:D12))/SUMIFS(C$4:C12,A$4:A12,A12))</f>
        <v/>
      </c>
      <c r="F12" s="6"/>
      <c r="G12" s="6" t="str">
        <f t="shared" si="0"/>
        <v/>
      </c>
    </row>
    <row r="13" spans="1:7" x14ac:dyDescent="0.4">
      <c r="A13" s="4"/>
      <c r="B13" s="5"/>
      <c r="C13" s="6"/>
      <c r="D13" s="7"/>
      <c r="E13" s="7" t="str">
        <f>IF(OR(A13="",SUMIFS(C$4:C13,A$4:A13,A13)=0),"",SUMPRODUCT((A$4:A13=A13)*(C$4:C13)*(D$4:D13))/SUMIFS(C$4:C13,A$4:A13,A13))</f>
        <v/>
      </c>
      <c r="F13" s="6"/>
      <c r="G13" s="6" t="str">
        <f t="shared" si="0"/>
        <v/>
      </c>
    </row>
    <row r="14" spans="1:7" x14ac:dyDescent="0.4">
      <c r="A14" s="4"/>
      <c r="B14" s="5"/>
      <c r="C14" s="6"/>
      <c r="D14" s="7"/>
      <c r="E14" s="7" t="str">
        <f>IF(OR(A14="",SUMIFS(C$4:C14,A$4:A14,A14)=0),"",SUMPRODUCT((A$4:A14=A14)*(C$4:C14)*(D$4:D14))/SUMIFS(C$4:C14,A$4:A14,A14))</f>
        <v/>
      </c>
      <c r="F14" s="6"/>
      <c r="G14" s="6" t="str">
        <f t="shared" si="0"/>
        <v/>
      </c>
    </row>
    <row r="15" spans="1:7" x14ac:dyDescent="0.4">
      <c r="A15" s="4"/>
      <c r="B15" s="5"/>
      <c r="C15" s="6"/>
      <c r="D15" s="7"/>
      <c r="E15" s="7" t="str">
        <f>IF(OR(A15="",SUMIFS(C$4:C15,A$4:A15,A15)=0),"",SUMPRODUCT((A$4:A15=A15)*(C$4:C15)*(D$4:D15))/SUMIFS(C$4:C15,A$4:A15,A15))</f>
        <v/>
      </c>
      <c r="F15" s="6"/>
      <c r="G15" s="6" t="str">
        <f t="shared" si="0"/>
        <v/>
      </c>
    </row>
    <row r="16" spans="1:7" x14ac:dyDescent="0.4">
      <c r="A16" s="4"/>
      <c r="B16" s="5"/>
      <c r="C16" s="6"/>
      <c r="D16" s="7"/>
      <c r="E16" s="7" t="str">
        <f>IF(OR(A16="",SUMIFS(C$4:C16,A$4:A16,A16)=0),"",SUMPRODUCT((A$4:A16=A16)*(C$4:C16)*(D$4:D16))/SUMIFS(C$4:C16,A$4:A16,A16))</f>
        <v/>
      </c>
      <c r="F16" s="6"/>
      <c r="G16" s="6" t="str">
        <f t="shared" si="0"/>
        <v/>
      </c>
    </row>
    <row r="17" spans="1:7" x14ac:dyDescent="0.4">
      <c r="A17" s="4"/>
      <c r="B17" s="5"/>
      <c r="C17" s="6"/>
      <c r="D17" s="7"/>
      <c r="E17" s="7" t="str">
        <f>IF(OR(A17="",SUMIFS(C$4:C17,A$4:A17,A17)=0),"",SUMPRODUCT((A$4:A17=A17)*(C$4:C17)*(D$4:D17))/SUMIFS(C$4:C17,A$4:A17,A17))</f>
        <v/>
      </c>
      <c r="F17" s="6"/>
      <c r="G17" s="6" t="str">
        <f t="shared" si="0"/>
        <v/>
      </c>
    </row>
    <row r="18" spans="1:7" x14ac:dyDescent="0.4">
      <c r="A18" s="4"/>
      <c r="B18" s="5"/>
      <c r="C18" s="6"/>
      <c r="D18" s="7"/>
      <c r="E18" s="7" t="str">
        <f>IF(OR(A18="",SUMIFS(C$4:C18,A$4:A18,A18)=0),"",SUMPRODUCT((A$4:A18=A18)*(C$4:C18)*(D$4:D18))/SUMIFS(C$4:C18,A$4:A18,A18))</f>
        <v/>
      </c>
      <c r="F18" s="6"/>
      <c r="G18" s="6" t="str">
        <f t="shared" si="0"/>
        <v/>
      </c>
    </row>
    <row r="19" spans="1:7" x14ac:dyDescent="0.4">
      <c r="A19" s="4"/>
      <c r="B19" s="5"/>
      <c r="C19" s="6"/>
      <c r="D19" s="7"/>
      <c r="E19" s="7" t="str">
        <f>IF(OR(A19="",SUMIFS(C$4:C19,A$4:A19,A19)=0),"",SUMPRODUCT((A$4:A19=A19)*(C$4:C19)*(D$4:D19))/SUMIFS(C$4:C19,A$4:A19,A19))</f>
        <v/>
      </c>
      <c r="F19" s="6"/>
      <c r="G19" s="6" t="str">
        <f t="shared" si="0"/>
        <v/>
      </c>
    </row>
    <row r="20" spans="1:7" x14ac:dyDescent="0.4">
      <c r="A20" s="4"/>
      <c r="B20" s="5"/>
      <c r="C20" s="6"/>
      <c r="D20" s="7"/>
      <c r="E20" s="7" t="str">
        <f>IF(OR(A20="",SUMIFS(C$4:C20,A$4:A20,A20)=0),"",SUMPRODUCT((A$4:A20=A20)*(C$4:C20)*(D$4:D20))/SUMIFS(C$4:C20,A$4:A20,A20))</f>
        <v/>
      </c>
      <c r="F20" s="6"/>
      <c r="G20" s="6" t="str">
        <f t="shared" si="0"/>
        <v/>
      </c>
    </row>
    <row r="21" spans="1:7" x14ac:dyDescent="0.4">
      <c r="A21" s="4"/>
      <c r="B21" s="5"/>
      <c r="C21" s="6"/>
      <c r="D21" s="7"/>
      <c r="E21" s="7" t="str">
        <f>IF(OR(A21="",SUMIFS(C$4:C21,A$4:A21,A21)=0),"",SUMPRODUCT((A$4:A21=A21)*(C$4:C21)*(D$4:D21))/SUMIFS(C$4:C21,A$4:A21,A21))</f>
        <v/>
      </c>
      <c r="F21" s="6"/>
      <c r="G21" s="6" t="str">
        <f t="shared" si="0"/>
        <v/>
      </c>
    </row>
    <row r="22" spans="1:7" x14ac:dyDescent="0.4">
      <c r="A22" s="4"/>
      <c r="B22" s="5"/>
      <c r="C22" s="6"/>
      <c r="D22" s="7"/>
      <c r="E22" s="7" t="str">
        <f>IF(OR(A22="",SUMIFS(C$4:C22,A$4:A22,A22)=0),"",SUMPRODUCT((A$4:A22=A22)*(C$4:C22)*(D$4:D22))/SUMIFS(C$4:C22,A$4:A22,A22))</f>
        <v/>
      </c>
      <c r="F22" s="6"/>
      <c r="G22" s="6" t="str">
        <f t="shared" si="0"/>
        <v/>
      </c>
    </row>
    <row r="23" spans="1:7" x14ac:dyDescent="0.4">
      <c r="A23" s="4"/>
      <c r="B23" s="5"/>
      <c r="C23" s="6"/>
      <c r="D23" s="7"/>
      <c r="E23" s="7" t="str">
        <f>IF(OR(A23="",SUMIFS(C$4:C23,A$4:A23,A23)=0),"",SUMPRODUCT((A$4:A23=A23)*(C$4:C23)*(D$4:D23))/SUMIFS(C$4:C23,A$4:A23,A23))</f>
        <v/>
      </c>
      <c r="F23" s="6"/>
      <c r="G23" s="6" t="str">
        <f t="shared" si="0"/>
        <v/>
      </c>
    </row>
    <row r="24" spans="1:7" x14ac:dyDescent="0.4">
      <c r="A24" s="4"/>
      <c r="B24" s="5"/>
      <c r="C24" s="6"/>
      <c r="D24" s="7"/>
      <c r="E24" s="7" t="str">
        <f>IF(OR(A24="",SUMIFS(C$4:C24,A$4:A24,A24)=0),"",SUMPRODUCT((A$4:A24=A24)*(C$4:C24)*(D$4:D24))/SUMIFS(C$4:C24,A$4:A24,A24))</f>
        <v/>
      </c>
      <c r="F24" s="6"/>
      <c r="G24" s="6" t="str">
        <f t="shared" si="0"/>
        <v/>
      </c>
    </row>
    <row r="25" spans="1:7" x14ac:dyDescent="0.4">
      <c r="A25" s="4"/>
      <c r="B25" s="5"/>
      <c r="C25" s="6"/>
      <c r="D25" s="7"/>
      <c r="E25" s="7" t="str">
        <f>IF(OR(A25="",SUMIFS(C$4:C25,A$4:A25,A25)=0),"",SUMPRODUCT((A$4:A25=A25)*(C$4:C25)*(D$4:D25))/SUMIFS(C$4:C25,A$4:A25,A25))</f>
        <v/>
      </c>
      <c r="F25" s="6"/>
      <c r="G25" s="6" t="str">
        <f t="shared" si="0"/>
        <v/>
      </c>
    </row>
    <row r="26" spans="1:7" x14ac:dyDescent="0.4">
      <c r="A26" s="4"/>
      <c r="B26" s="5"/>
      <c r="C26" s="6"/>
      <c r="D26" s="7"/>
      <c r="E26" s="7" t="str">
        <f>IF(OR(A26="",SUMIFS(C$4:C26,A$4:A26,A26)=0),"",SUMPRODUCT((A$4:A26=A26)*(C$4:C26)*(D$4:D26))/SUMIFS(C$4:C26,A$4:A26,A26))</f>
        <v/>
      </c>
      <c r="F26" s="6"/>
      <c r="G26" s="6" t="str">
        <f t="shared" si="0"/>
        <v/>
      </c>
    </row>
    <row r="27" spans="1:7" x14ac:dyDescent="0.4">
      <c r="A27" s="4"/>
      <c r="B27" s="5"/>
      <c r="C27" s="6"/>
      <c r="D27" s="7"/>
      <c r="E27" s="7" t="str">
        <f>IF(OR(A27="",SUMIFS(C$4:C27,A$4:A27,A27)=0),"",SUMPRODUCT((A$4:A27=A27)*(C$4:C27)*(D$4:D27))/SUMIFS(C$4:C27,A$4:A27,A27))</f>
        <v/>
      </c>
      <c r="F27" s="6"/>
      <c r="G27" s="6" t="str">
        <f t="shared" si="0"/>
        <v/>
      </c>
    </row>
    <row r="28" spans="1:7" x14ac:dyDescent="0.4">
      <c r="A28" s="4"/>
      <c r="B28" s="5"/>
      <c r="C28" s="6"/>
      <c r="D28" s="7"/>
      <c r="E28" s="7" t="str">
        <f>IF(OR(A28="",SUMIFS(C$4:C28,A$4:A28,A28)=0),"",SUMPRODUCT((A$4:A28=A28)*(C$4:C28)*(D$4:D28))/SUMIFS(C$4:C28,A$4:A28,A28))</f>
        <v/>
      </c>
      <c r="F28" s="6"/>
      <c r="G28" s="6" t="str">
        <f t="shared" si="0"/>
        <v/>
      </c>
    </row>
    <row r="29" spans="1:7" x14ac:dyDescent="0.4">
      <c r="A29" s="4"/>
      <c r="B29" s="5"/>
      <c r="C29" s="6"/>
      <c r="D29" s="7"/>
      <c r="E29" s="7" t="str">
        <f>IF(OR(A29="",SUMIFS(C$4:C29,A$4:A29,A29)=0),"",SUMPRODUCT((A$4:A29=A29)*(C$4:C29)*(D$4:D29))/SUMIFS(C$4:C29,A$4:A29,A29))</f>
        <v/>
      </c>
      <c r="F29" s="6"/>
      <c r="G29" s="6" t="str">
        <f t="shared" si="0"/>
        <v/>
      </c>
    </row>
    <row r="30" spans="1:7" x14ac:dyDescent="0.4">
      <c r="A30" s="4"/>
      <c r="B30" s="5"/>
      <c r="C30" s="6"/>
      <c r="D30" s="7"/>
      <c r="E30" s="7" t="str">
        <f>IF(OR(A30="",SUMIFS(C$4:C30,A$4:A30,A30)=0),"",SUMPRODUCT((A$4:A30=A30)*(C$4:C30)*(D$4:D30))/SUMIFS(C$4:C30,A$4:A30,A30))</f>
        <v/>
      </c>
      <c r="F30" s="6"/>
      <c r="G30" s="6" t="str">
        <f t="shared" si="0"/>
        <v/>
      </c>
    </row>
    <row r="31" spans="1:7" x14ac:dyDescent="0.4">
      <c r="A31" s="4"/>
      <c r="B31" s="5"/>
      <c r="C31" s="6"/>
      <c r="D31" s="7"/>
      <c r="E31" s="7" t="str">
        <f>IF(OR(A31="",SUMIFS(C$4:C31,A$4:A31,A31)=0),"",SUMPRODUCT((A$4:A31=A31)*(C$4:C31)*(D$4:D31))/SUMIFS(C$4:C31,A$4:A31,A31))</f>
        <v/>
      </c>
      <c r="F31" s="6"/>
      <c r="G31" s="6" t="str">
        <f t="shared" si="0"/>
        <v/>
      </c>
    </row>
    <row r="32" spans="1:7" x14ac:dyDescent="0.4">
      <c r="A32" s="4"/>
      <c r="B32" s="5"/>
      <c r="C32" s="6"/>
      <c r="D32" s="7"/>
      <c r="E32" s="7" t="str">
        <f>IF(OR(A32="",SUMIFS(C$4:C32,A$4:A32,A32)=0),"",SUMPRODUCT((A$4:A32=A32)*(C$4:C32)*(D$4:D32))/SUMIFS(C$4:C32,A$4:A32,A32))</f>
        <v/>
      </c>
      <c r="F32" s="6"/>
      <c r="G32" s="6" t="str">
        <f t="shared" si="0"/>
        <v/>
      </c>
    </row>
    <row r="33" spans="1:7" x14ac:dyDescent="0.4">
      <c r="A33" s="4"/>
      <c r="B33" s="5"/>
      <c r="C33" s="6"/>
      <c r="D33" s="7"/>
      <c r="E33" s="7" t="str">
        <f>IF(OR(A33="",SUMIFS(C$4:C33,A$4:A33,A33)=0),"",SUMPRODUCT((A$4:A33=A33)*(C$4:C33)*(D$4:D33))/SUMIFS(C$4:C33,A$4:A33,A33))</f>
        <v/>
      </c>
      <c r="F33" s="6"/>
      <c r="G33" s="6" t="str">
        <f t="shared" si="0"/>
        <v/>
      </c>
    </row>
    <row r="34" spans="1:7" x14ac:dyDescent="0.4">
      <c r="A34" s="4"/>
      <c r="B34" s="5"/>
      <c r="C34" s="6"/>
      <c r="D34" s="7"/>
      <c r="E34" s="7" t="str">
        <f>IF(OR(A34="",SUMIFS(C$4:C34,A$4:A34,A34)=0),"",SUMPRODUCT((A$4:A34=A34)*(C$4:C34)*(D$4:D34))/SUMIFS(C$4:C34,A$4:A34,A34))</f>
        <v/>
      </c>
      <c r="F34" s="6"/>
      <c r="G34" s="6" t="str">
        <f t="shared" si="0"/>
        <v/>
      </c>
    </row>
    <row r="35" spans="1:7" x14ac:dyDescent="0.4">
      <c r="A35" s="4"/>
      <c r="B35" s="5"/>
      <c r="C35" s="6"/>
      <c r="D35" s="7"/>
      <c r="E35" s="7" t="str">
        <f>IF(OR(A35="",SUMIFS(C$4:C35,A$4:A35,A35)=0),"",SUMPRODUCT((A$4:A35=A35)*(C$4:C35)*(D$4:D35))/SUMIFS(C$4:C35,A$4:A35,A35))</f>
        <v/>
      </c>
      <c r="F35" s="6"/>
      <c r="G35" s="6" t="str">
        <f t="shared" si="0"/>
        <v/>
      </c>
    </row>
    <row r="36" spans="1:7" x14ac:dyDescent="0.4">
      <c r="A36" s="4"/>
      <c r="B36" s="5"/>
      <c r="C36" s="6"/>
      <c r="D36" s="7"/>
      <c r="E36" s="7" t="str">
        <f>IF(OR(A36="",SUMIFS(C$4:C36,A$4:A36,A36)=0),"",SUMPRODUCT((A$4:A36=A36)*(C$4:C36)*(D$4:D36))/SUMIFS(C$4:C36,A$4:A36,A36))</f>
        <v/>
      </c>
      <c r="F36" s="6"/>
      <c r="G36" s="6" t="str">
        <f t="shared" si="0"/>
        <v/>
      </c>
    </row>
    <row r="37" spans="1:7" x14ac:dyDescent="0.4">
      <c r="A37" s="4"/>
      <c r="B37" s="5"/>
      <c r="C37" s="6"/>
      <c r="D37" s="7"/>
      <c r="E37" s="7" t="str">
        <f>IF(OR(A37="",SUMIFS(C$4:C37,A$4:A37,A37)=0),"",SUMPRODUCT((A$4:A37=A37)*(C$4:C37)*(D$4:D37))/SUMIFS(C$4:C37,A$4:A37,A37))</f>
        <v/>
      </c>
      <c r="F37" s="6"/>
      <c r="G37" s="6" t="str">
        <f t="shared" si="0"/>
        <v/>
      </c>
    </row>
    <row r="38" spans="1:7" x14ac:dyDescent="0.4">
      <c r="A38" s="4"/>
      <c r="B38" s="5"/>
      <c r="C38" s="6"/>
      <c r="D38" s="7"/>
      <c r="E38" s="7" t="str">
        <f>IF(OR(A38="",SUMIFS(C$4:C38,A$4:A38,A38)=0),"",SUMPRODUCT((A$4:A38=A38)*(C$4:C38)*(D$4:D38))/SUMIFS(C$4:C38,A$4:A38,A38))</f>
        <v/>
      </c>
      <c r="F38" s="6"/>
      <c r="G38" s="6" t="str">
        <f t="shared" si="0"/>
        <v/>
      </c>
    </row>
    <row r="39" spans="1:7" x14ac:dyDescent="0.4">
      <c r="A39" s="4"/>
      <c r="B39" s="5"/>
      <c r="C39" s="6"/>
      <c r="D39" s="7"/>
      <c r="E39" s="7" t="str">
        <f>IF(OR(A39="",SUMIFS(C$4:C39,A$4:A39,A39)=0),"",SUMPRODUCT((A$4:A39=A39)*(C$4:C39)*(D$4:D39))/SUMIFS(C$4:C39,A$4:A39,A39))</f>
        <v/>
      </c>
      <c r="F39" s="6"/>
      <c r="G39" s="6" t="str">
        <f t="shared" si="0"/>
        <v/>
      </c>
    </row>
    <row r="40" spans="1:7" x14ac:dyDescent="0.4">
      <c r="A40" s="4"/>
      <c r="B40" s="5"/>
      <c r="C40" s="6"/>
      <c r="D40" s="7"/>
      <c r="E40" s="7" t="str">
        <f>IF(OR(A40="",SUMIFS(C$4:C40,A$4:A40,A40)=0),"",SUMPRODUCT((A$4:A40=A40)*(C$4:C40)*(D$4:D40))/SUMIFS(C$4:C40,A$4:A40,A40))</f>
        <v/>
      </c>
      <c r="F40" s="6"/>
      <c r="G40" s="6" t="str">
        <f t="shared" si="0"/>
        <v/>
      </c>
    </row>
    <row r="41" spans="1:7" x14ac:dyDescent="0.4">
      <c r="A41" s="4"/>
      <c r="B41" s="5"/>
      <c r="C41" s="6"/>
      <c r="D41" s="7"/>
      <c r="E41" s="7" t="str">
        <f>IF(OR(A41="",SUMIFS(C$4:C41,A$4:A41,A41)=0),"",SUMPRODUCT((A$4:A41=A41)*(C$4:C41)*(D$4:D41))/SUMIFS(C$4:C41,A$4:A41,A41))</f>
        <v/>
      </c>
      <c r="F41" s="6"/>
      <c r="G41" s="6" t="str">
        <f t="shared" si="0"/>
        <v/>
      </c>
    </row>
    <row r="42" spans="1:7" x14ac:dyDescent="0.4">
      <c r="A42" s="8" t="s">
        <v>33</v>
      </c>
      <c r="B42" s="8"/>
      <c r="C42" s="9">
        <f>SUM(C4:C41)</f>
        <v>1762</v>
      </c>
      <c r="D42" s="10">
        <f>IF(SUM(C4:C41)=0,0,SUMPRODUCT(C4:C41,D4:D41)/SUM(C4:C41))</f>
        <v>215.49293984108968</v>
      </c>
      <c r="E42" s="10">
        <f>AVERAGEIF(E4:E41,"&lt;&gt;0")</f>
        <v>203.34140588006139</v>
      </c>
      <c r="F42" s="9">
        <f>SUM(F4:F41)</f>
        <v>57</v>
      </c>
      <c r="G42" s="9">
        <f>SUM(G4:G41)</f>
        <v>1705</v>
      </c>
    </row>
  </sheetData>
  <phoneticPr fontId="5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모델명을 선택해주세요." promptTitle="모델 선택" prompt="드롭다운에서 모델을 선택하세요.">
          <x14:formula1>
            <xm:f>모델_마스터!$B$10:$B$10</xm:f>
          </x14:formula1>
          <xm:sqref>A4:A41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A24" sqref="A24"/>
    </sheetView>
  </sheetViews>
  <sheetFormatPr defaultRowHeight="17.399999999999999" x14ac:dyDescent="0.4"/>
  <cols>
    <col min="1" max="1" width="65" customWidth="1"/>
    <col min="2" max="2" width="23" customWidth="1"/>
    <col min="3" max="4" width="18" customWidth="1"/>
    <col min="5" max="5" width="21" customWidth="1"/>
    <col min="6" max="7" width="18" customWidth="1"/>
  </cols>
  <sheetData>
    <row r="1" spans="1:7" ht="25.05" customHeight="1" x14ac:dyDescent="0.4">
      <c r="A1" s="2" t="s">
        <v>35</v>
      </c>
    </row>
    <row r="3" spans="1:7" ht="22.05" customHeight="1" x14ac:dyDescent="0.4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</row>
    <row r="4" spans="1:7" x14ac:dyDescent="0.4">
      <c r="A4" s="4" t="s">
        <v>14</v>
      </c>
      <c r="B4" s="5">
        <v>45839</v>
      </c>
      <c r="C4" s="6">
        <v>200</v>
      </c>
      <c r="D4" s="7">
        <v>85</v>
      </c>
      <c r="E4" s="7">
        <f>IF(OR(A4="",SUMIFS(C$4:C4,A$4:A4,A4)=0),"",SUMPRODUCT((A$4:A4=A4)*(C$4:C4)*(D$4:D4))/SUMIFS(C$4:C4,A$4:A4,A4))</f>
        <v>85</v>
      </c>
      <c r="F4" s="6">
        <v>196</v>
      </c>
      <c r="G4" s="6">
        <f t="shared" ref="G4:G35" si="0">IF(C4="","",C4-IF(ISNUMBER(F4),F4,0))</f>
        <v>4</v>
      </c>
    </row>
    <row r="5" spans="1:7" x14ac:dyDescent="0.4">
      <c r="A5" s="4" t="s">
        <v>14</v>
      </c>
      <c r="B5" s="5">
        <v>46235</v>
      </c>
      <c r="C5" s="6">
        <v>4</v>
      </c>
      <c r="D5" s="7">
        <v>85</v>
      </c>
      <c r="E5" s="7">
        <f>IF(OR(A5="",SUMIFS(C$4:C5,A$4:A5,A5)=0),"",SUMPRODUCT((A$4:A5=A5)*(C$4:C5)*(D$4:D5))/SUMIFS(C$4:C5,A$4:A5,A5))</f>
        <v>85</v>
      </c>
      <c r="F5" s="6">
        <v>4</v>
      </c>
      <c r="G5" s="6">
        <f t="shared" si="0"/>
        <v>0</v>
      </c>
    </row>
    <row r="6" spans="1:7" x14ac:dyDescent="0.4">
      <c r="A6" s="4" t="s">
        <v>14</v>
      </c>
      <c r="B6" s="5">
        <v>46266</v>
      </c>
      <c r="C6" s="6">
        <v>119</v>
      </c>
      <c r="D6" s="7">
        <v>92.4</v>
      </c>
      <c r="E6" s="7">
        <f>IF(OR(A6="",SUMIFS(C$4:C6,A$4:A6,A6)=0),"",SUMPRODUCT((A$4:A6=A6)*(C$4:C6)*(D$4:D6))/SUMIFS(C$4:C6,A$4:A6,A6))</f>
        <v>87.726315789473674</v>
      </c>
      <c r="F6" s="6">
        <v>119</v>
      </c>
      <c r="G6" s="6">
        <f t="shared" si="0"/>
        <v>0</v>
      </c>
    </row>
    <row r="7" spans="1:7" x14ac:dyDescent="0.4">
      <c r="A7" s="4" t="s">
        <v>14</v>
      </c>
      <c r="B7" s="5">
        <v>45992</v>
      </c>
      <c r="C7" s="6">
        <v>266</v>
      </c>
      <c r="D7" s="7">
        <v>97.27</v>
      </c>
      <c r="E7" s="7">
        <f>IF(OR(A7="",SUMIFS(C$4:C7,A$4:A7,A7)=0),"",SUMPRODUCT((A$4:A7=A7)*(C$4:C7)*(D$4:D7))/SUMIFS(C$4:C7,A$4:A7,A7))</f>
        <v>92.036366723259761</v>
      </c>
      <c r="F7" s="6">
        <v>266</v>
      </c>
      <c r="G7" s="6">
        <f t="shared" si="0"/>
        <v>0</v>
      </c>
    </row>
    <row r="8" spans="1:7" x14ac:dyDescent="0.4">
      <c r="A8" s="4" t="s">
        <v>14</v>
      </c>
      <c r="B8" s="5">
        <v>46023</v>
      </c>
      <c r="C8" s="6">
        <v>300</v>
      </c>
      <c r="D8" s="7">
        <v>106.67</v>
      </c>
      <c r="E8" s="7">
        <f>IF(OR(A8="",SUMIFS(C$4:C8,A$4:A8,A8)=0),"",SUMPRODUCT((A$4:A8=A8)*(C$4:C8)*(D$4:D8))/SUMIFS(C$4:C8,A$4:A8,A8))</f>
        <v>96.974600674915635</v>
      </c>
      <c r="F8" s="6">
        <v>56</v>
      </c>
      <c r="G8" s="6">
        <f t="shared" si="0"/>
        <v>244</v>
      </c>
    </row>
    <row r="9" spans="1:7" x14ac:dyDescent="0.4">
      <c r="A9" s="4" t="s">
        <v>14</v>
      </c>
      <c r="B9" s="5">
        <v>46054</v>
      </c>
      <c r="C9" s="6">
        <v>244</v>
      </c>
      <c r="D9" s="7">
        <v>106.67</v>
      </c>
      <c r="E9" s="7">
        <f>IF(OR(A9="",SUMIFS(C$4:C9,A$4:A9,A9)=0),"",SUMPRODUCT((A$4:A9=A9)*(C$4:C9)*(D$4:D9))/SUMIFS(C$4:C9,A$4:A9,A9))</f>
        <v>99.062577228596638</v>
      </c>
      <c r="F9" s="6">
        <v>68</v>
      </c>
      <c r="G9" s="6">
        <f t="shared" si="0"/>
        <v>176</v>
      </c>
    </row>
    <row r="10" spans="1:7" x14ac:dyDescent="0.4">
      <c r="A10" s="4" t="s">
        <v>14</v>
      </c>
      <c r="B10" s="5">
        <v>46082</v>
      </c>
      <c r="C10" s="6">
        <v>176</v>
      </c>
      <c r="D10" s="7">
        <v>106.67</v>
      </c>
      <c r="E10" s="7">
        <f>IF(OR(A10="",SUMIFS(C$4:C10,A$4:A10,A10)=0),"",SUMPRODUCT((A$4:A10=A10)*(C$4:C10)*(D$4:D10))/SUMIFS(C$4:C10,A$4:A10,A10))</f>
        <v>100.08542398777692</v>
      </c>
      <c r="F10" s="6"/>
      <c r="G10" s="6">
        <f t="shared" si="0"/>
        <v>176</v>
      </c>
    </row>
    <row r="11" spans="1:7" x14ac:dyDescent="0.4">
      <c r="A11" s="4" t="s">
        <v>14</v>
      </c>
      <c r="B11" s="5">
        <v>46113</v>
      </c>
      <c r="C11" s="6">
        <v>176</v>
      </c>
      <c r="D11" s="7">
        <v>106.67</v>
      </c>
      <c r="E11" s="7">
        <f>IF(OR(A11="",SUMIFS(C$4:C11,A$4:A11,A11)=0),"",SUMPRODUCT((A$4:A11=A11)*(C$4:C11)*(D$4:D11))/SUMIFS(C$4:C11,A$4:A11,A11))</f>
        <v>100.86581818181817</v>
      </c>
      <c r="F11" s="6">
        <v>161</v>
      </c>
      <c r="G11" s="6">
        <f t="shared" si="0"/>
        <v>15</v>
      </c>
    </row>
    <row r="12" spans="1:7" x14ac:dyDescent="0.4">
      <c r="A12" s="4" t="s">
        <v>14</v>
      </c>
      <c r="B12" s="5">
        <v>46143</v>
      </c>
      <c r="C12" s="6">
        <v>15</v>
      </c>
      <c r="D12" s="7">
        <v>106.67</v>
      </c>
      <c r="E12" s="7">
        <f>IF(OR(A12="",SUMIFS(C$4:C12,A$4:A12,A12)=0),"",SUMPRODUCT((A$4:A12=A12)*(C$4:C12)*(D$4:D12))/SUMIFS(C$4:C12,A$4:A12,A12))</f>
        <v>100.92385999999999</v>
      </c>
      <c r="F12" s="6">
        <v>15</v>
      </c>
      <c r="G12" s="6">
        <f t="shared" si="0"/>
        <v>0</v>
      </c>
    </row>
    <row r="13" spans="1:7" x14ac:dyDescent="0.4">
      <c r="A13" s="4" t="s">
        <v>14</v>
      </c>
      <c r="B13" s="5">
        <v>46174</v>
      </c>
      <c r="C13" s="6">
        <v>250</v>
      </c>
      <c r="D13" s="7">
        <v>174.46</v>
      </c>
      <c r="E13" s="7">
        <f>IF(OR(A13="",SUMIFS(C$4:C13,A$4:A13,A13)=0),"",SUMPRODUCT((A$4:A13=A13)*(C$4:C13)*(D$4:D13))/SUMIFS(C$4:C13,A$4:A13,A13))</f>
        <v>111.42902285714284</v>
      </c>
      <c r="F13" s="6">
        <v>72</v>
      </c>
      <c r="G13" s="6">
        <f t="shared" si="0"/>
        <v>178</v>
      </c>
    </row>
    <row r="14" spans="1:7" x14ac:dyDescent="0.4">
      <c r="A14" s="4" t="s">
        <v>14</v>
      </c>
      <c r="B14" s="5">
        <v>46204</v>
      </c>
      <c r="C14" s="6">
        <v>178</v>
      </c>
      <c r="D14" s="7">
        <v>174.46</v>
      </c>
      <c r="E14" s="7">
        <f>IF(OR(A14="",SUMIFS(C$4:C14,A$4:A14,A14)=0),"",SUMPRODUCT((A$4:A14=A14)*(C$4:C14)*(D$4:D14))/SUMIFS(C$4:C14,A$4:A14,A14))</f>
        <v>117.24827282157675</v>
      </c>
      <c r="F14" s="6">
        <v>10</v>
      </c>
      <c r="G14" s="6">
        <f t="shared" si="0"/>
        <v>168</v>
      </c>
    </row>
    <row r="15" spans="1:7" x14ac:dyDescent="0.4">
      <c r="A15" s="4" t="s">
        <v>14</v>
      </c>
      <c r="B15" s="5">
        <v>46235</v>
      </c>
      <c r="C15" s="6">
        <v>168</v>
      </c>
      <c r="D15" s="7">
        <v>174.46</v>
      </c>
      <c r="E15" s="7">
        <f>IF(OR(A15="",SUMIFS(C$4:C15,A$4:A15,A15)=0),"",SUMPRODUCT((A$4:A15=A15)*(C$4:C15)*(D$4:D15))/SUMIFS(C$4:C15,A$4:A15,A15))</f>
        <v>121.83394561068701</v>
      </c>
      <c r="F15" s="6">
        <v>155</v>
      </c>
      <c r="G15" s="6">
        <f t="shared" si="0"/>
        <v>13</v>
      </c>
    </row>
    <row r="16" spans="1:7" x14ac:dyDescent="0.4">
      <c r="A16" s="4" t="s">
        <v>14</v>
      </c>
      <c r="B16" s="5">
        <v>46266</v>
      </c>
      <c r="C16" s="6">
        <v>13</v>
      </c>
      <c r="D16" s="7">
        <v>174.46</v>
      </c>
      <c r="E16" s="7">
        <f>IF(OR(A16="",SUMIFS(C$4:C16,A$4:A16,A16)=0),"",SUMPRODUCT((A$4:A16=A16)*(C$4:C16)*(D$4:D16))/SUMIFS(C$4:C16,A$4:A16,A16))</f>
        <v>122.15833570412518</v>
      </c>
      <c r="F16" s="6"/>
      <c r="G16" s="6">
        <f t="shared" si="0"/>
        <v>13</v>
      </c>
    </row>
    <row r="17" spans="1:7" x14ac:dyDescent="0.4">
      <c r="A17" s="4" t="s">
        <v>14</v>
      </c>
      <c r="B17" s="5">
        <v>45931</v>
      </c>
      <c r="C17" s="6">
        <v>413</v>
      </c>
      <c r="D17" s="7">
        <v>187.96</v>
      </c>
      <c r="E17" s="7">
        <f>IF(OR(A17="",SUMIFS(C$4:C17,A$4:A17,A17)=0),"",SUMPRODUCT((A$4:A17=A17)*(C$4:C17)*(D$4:D17))/SUMIFS(C$4:C17,A$4:A17,A17))</f>
        <v>132.93394528152263</v>
      </c>
      <c r="F17" s="6">
        <v>60</v>
      </c>
      <c r="G17" s="6">
        <f t="shared" si="0"/>
        <v>353</v>
      </c>
    </row>
    <row r="18" spans="1:7" x14ac:dyDescent="0.4">
      <c r="A18" s="4" t="s">
        <v>14</v>
      </c>
      <c r="B18" s="5">
        <v>46235</v>
      </c>
      <c r="C18" s="6">
        <v>300</v>
      </c>
      <c r="D18" s="7">
        <v>92.5</v>
      </c>
      <c r="E18" s="7">
        <f>IF(OR(A18="",SUMIFS(C$4:C18,A$4:A18,A18)=0),"",SUMPRODUCT((A$4:A18=A18)*(C$4:C18)*(D$4:D18))/SUMIFS(C$4:C18,A$4:A18,A18))</f>
        <v>128.63551027639974</v>
      </c>
      <c r="F18" s="6">
        <v>181</v>
      </c>
      <c r="G18" s="6">
        <f t="shared" si="0"/>
        <v>119</v>
      </c>
    </row>
    <row r="19" spans="1:7" x14ac:dyDescent="0.4">
      <c r="A19" s="4" t="s">
        <v>14</v>
      </c>
      <c r="B19" s="5">
        <v>46266</v>
      </c>
      <c r="C19" s="6">
        <v>300</v>
      </c>
      <c r="D19" s="7">
        <v>99.2</v>
      </c>
      <c r="E19" s="7">
        <f>IF(OR(A19="",SUMIFS(C$4:C19,A$4:A19,A19)=0),"",SUMPRODUCT((A$4:A19=A19)*(C$4:C19)*(D$4:D19))/SUMIFS(C$4:C19,A$4:A19,A19))</f>
        <v>125.80698590647022</v>
      </c>
      <c r="F19" s="6">
        <v>34</v>
      </c>
      <c r="G19" s="6">
        <f t="shared" si="0"/>
        <v>266</v>
      </c>
    </row>
    <row r="20" spans="1:7" x14ac:dyDescent="0.4">
      <c r="A20" s="4" t="s">
        <v>14</v>
      </c>
      <c r="B20" s="5">
        <v>45992</v>
      </c>
      <c r="C20" s="6">
        <v>300</v>
      </c>
      <c r="D20" s="7">
        <v>115</v>
      </c>
      <c r="E20" s="7">
        <f>IF(OR(A20="",SUMIFS(C$4:C20,A$4:A20,A20)=0),"",SUMPRODUCT((A$4:A20=A20)*(C$4:C20)*(D$4:D20))/SUMIFS(C$4:C20,A$4:A20,A20))</f>
        <v>124.85955873758037</v>
      </c>
      <c r="F20" s="6"/>
      <c r="G20" s="6">
        <f t="shared" si="0"/>
        <v>300</v>
      </c>
    </row>
    <row r="21" spans="1:7" x14ac:dyDescent="0.4">
      <c r="A21" s="4" t="s">
        <v>14</v>
      </c>
      <c r="B21" s="5">
        <v>46143</v>
      </c>
      <c r="C21" s="6">
        <v>400</v>
      </c>
      <c r="D21" s="7">
        <v>177</v>
      </c>
      <c r="E21" s="7">
        <f>IF(OR(A21="",SUMIFS(C$4:C21,A$4:A21,A21)=0),"",SUMPRODUCT((A$4:A21=A21)*(C$4:C21)*(D$4:D21))/SUMIFS(C$4:C21,A$4:A21,A21))</f>
        <v>130.31643380429097</v>
      </c>
      <c r="F21" s="6">
        <v>150</v>
      </c>
      <c r="G21" s="6">
        <f t="shared" si="0"/>
        <v>250</v>
      </c>
    </row>
    <row r="22" spans="1:7" x14ac:dyDescent="0.4">
      <c r="A22" s="4" t="s">
        <v>14</v>
      </c>
      <c r="B22" s="5">
        <v>46266</v>
      </c>
      <c r="C22" s="6">
        <v>400</v>
      </c>
      <c r="D22" s="7">
        <v>188.4</v>
      </c>
      <c r="E22" s="7">
        <f>IF(OR(A22="",SUMIFS(C$4:C22,A$4:A22,A22)=0),"",SUMPRODUCT((A$4:A22=A22)*(C$4:C22)*(D$4:D22))/SUMIFS(C$4:C22,A$4:A22,A22))</f>
        <v>135.81937707247749</v>
      </c>
      <c r="F22" s="6"/>
      <c r="G22" s="6">
        <f t="shared" si="0"/>
        <v>400</v>
      </c>
    </row>
    <row r="23" spans="1:7" x14ac:dyDescent="0.4">
      <c r="A23" s="4"/>
      <c r="B23" s="5"/>
      <c r="C23" s="6"/>
      <c r="D23" s="7"/>
      <c r="E23" s="7" t="str">
        <f>IF(OR(A23="",SUMIFS(C$4:C23,A$4:A23,A23)=0),"",SUMPRODUCT((A$4:A23=A23)*(C$4:C23)*(D$4:D23))/SUMIFS(C$4:C23,A$4:A23,A23))</f>
        <v/>
      </c>
      <c r="F23" s="6"/>
      <c r="G23" s="6" t="str">
        <f t="shared" si="0"/>
        <v/>
      </c>
    </row>
    <row r="24" spans="1:7" x14ac:dyDescent="0.4">
      <c r="A24" s="4"/>
      <c r="B24" s="5"/>
      <c r="C24" s="6"/>
      <c r="D24" s="7"/>
      <c r="E24" s="7" t="str">
        <f>IF(OR(A24="",SUMIFS(C$4:C24,A$4:A24,A24)=0),"",SUMPRODUCT((A$4:A24=A24)*(C$4:C24)*(D$4:D24))/SUMIFS(C$4:C24,A$4:A24,A24))</f>
        <v/>
      </c>
      <c r="F24" s="6"/>
      <c r="G24" s="6" t="str">
        <f t="shared" si="0"/>
        <v/>
      </c>
    </row>
    <row r="25" spans="1:7" x14ac:dyDescent="0.4">
      <c r="A25" s="4"/>
      <c r="B25" s="5"/>
      <c r="C25" s="6"/>
      <c r="D25" s="7"/>
      <c r="E25" s="7" t="str">
        <f>IF(OR(A25="",SUMIFS(C$4:C25,A$4:A25,A25)=0),"",SUMPRODUCT((A$4:A25=A25)*(C$4:C25)*(D$4:D25))/SUMIFS(C$4:C25,A$4:A25,A25))</f>
        <v/>
      </c>
      <c r="F25" s="6"/>
      <c r="G25" s="6" t="str">
        <f t="shared" si="0"/>
        <v/>
      </c>
    </row>
    <row r="26" spans="1:7" x14ac:dyDescent="0.4">
      <c r="A26" s="4"/>
      <c r="B26" s="5"/>
      <c r="C26" s="6"/>
      <c r="D26" s="7"/>
      <c r="E26" s="7" t="str">
        <f>IF(OR(A26="",SUMIFS(C$4:C26,A$4:A26,A26)=0),"",SUMPRODUCT((A$4:A26=A26)*(C$4:C26)*(D$4:D26))/SUMIFS(C$4:C26,A$4:A26,A26))</f>
        <v/>
      </c>
      <c r="F26" s="6"/>
      <c r="G26" s="6" t="str">
        <f t="shared" si="0"/>
        <v/>
      </c>
    </row>
    <row r="27" spans="1:7" x14ac:dyDescent="0.4">
      <c r="A27" s="4"/>
      <c r="B27" s="5"/>
      <c r="C27" s="6"/>
      <c r="D27" s="7"/>
      <c r="E27" s="7" t="str">
        <f>IF(OR(A27="",SUMIFS(C$4:C27,A$4:A27,A27)=0),"",SUMPRODUCT((A$4:A27=A27)*(C$4:C27)*(D$4:D27))/SUMIFS(C$4:C27,A$4:A27,A27))</f>
        <v/>
      </c>
      <c r="F27" s="6"/>
      <c r="G27" s="6" t="str">
        <f t="shared" si="0"/>
        <v/>
      </c>
    </row>
    <row r="28" spans="1:7" x14ac:dyDescent="0.4">
      <c r="A28" s="4"/>
      <c r="B28" s="5"/>
      <c r="C28" s="6"/>
      <c r="D28" s="7"/>
      <c r="E28" s="7" t="str">
        <f>IF(OR(A28="",SUMIFS(C$4:C28,A$4:A28,A28)=0),"",SUMPRODUCT((A$4:A28=A28)*(C$4:C28)*(D$4:D28))/SUMIFS(C$4:C28,A$4:A28,A28))</f>
        <v/>
      </c>
      <c r="F28" s="6"/>
      <c r="G28" s="6" t="str">
        <f t="shared" si="0"/>
        <v/>
      </c>
    </row>
    <row r="29" spans="1:7" x14ac:dyDescent="0.4">
      <c r="A29" s="4"/>
      <c r="B29" s="5"/>
      <c r="C29" s="6"/>
      <c r="D29" s="7"/>
      <c r="E29" s="7" t="str">
        <f>IF(OR(A29="",SUMIFS(C$4:C29,A$4:A29,A29)=0),"",SUMPRODUCT((A$4:A29=A29)*(C$4:C29)*(D$4:D29))/SUMIFS(C$4:C29,A$4:A29,A29))</f>
        <v/>
      </c>
      <c r="F29" s="6"/>
      <c r="G29" s="6" t="str">
        <f t="shared" si="0"/>
        <v/>
      </c>
    </row>
    <row r="30" spans="1:7" x14ac:dyDescent="0.4">
      <c r="A30" s="4"/>
      <c r="B30" s="5"/>
      <c r="C30" s="6"/>
      <c r="D30" s="7"/>
      <c r="E30" s="7" t="str">
        <f>IF(OR(A30="",SUMIFS(C$4:C30,A$4:A30,A30)=0),"",SUMPRODUCT((A$4:A30=A30)*(C$4:C30)*(D$4:D30))/SUMIFS(C$4:C30,A$4:A30,A30))</f>
        <v/>
      </c>
      <c r="F30" s="6"/>
      <c r="G30" s="6" t="str">
        <f t="shared" si="0"/>
        <v/>
      </c>
    </row>
    <row r="31" spans="1:7" x14ac:dyDescent="0.4">
      <c r="A31" s="4"/>
      <c r="B31" s="5"/>
      <c r="C31" s="6"/>
      <c r="D31" s="7"/>
      <c r="E31" s="7" t="str">
        <f>IF(OR(A31="",SUMIFS(C$4:C31,A$4:A31,A31)=0),"",SUMPRODUCT((A$4:A31=A31)*(C$4:C31)*(D$4:D31))/SUMIFS(C$4:C31,A$4:A31,A31))</f>
        <v/>
      </c>
      <c r="F31" s="6"/>
      <c r="G31" s="6" t="str">
        <f t="shared" si="0"/>
        <v/>
      </c>
    </row>
    <row r="32" spans="1:7" x14ac:dyDescent="0.4">
      <c r="A32" s="4"/>
      <c r="B32" s="5"/>
      <c r="C32" s="6"/>
      <c r="D32" s="7"/>
      <c r="E32" s="7" t="str">
        <f>IF(OR(A32="",SUMIFS(C$4:C32,A$4:A32,A32)=0),"",SUMPRODUCT((A$4:A32=A32)*(C$4:C32)*(D$4:D32))/SUMIFS(C$4:C32,A$4:A32,A32))</f>
        <v/>
      </c>
      <c r="F32" s="6"/>
      <c r="G32" s="6" t="str">
        <f t="shared" si="0"/>
        <v/>
      </c>
    </row>
    <row r="33" spans="1:7" x14ac:dyDescent="0.4">
      <c r="A33" s="4"/>
      <c r="B33" s="5"/>
      <c r="C33" s="6"/>
      <c r="D33" s="7"/>
      <c r="E33" s="7" t="str">
        <f>IF(OR(A33="",SUMIFS(C$4:C33,A$4:A33,A33)=0),"",SUMPRODUCT((A$4:A33=A33)*(C$4:C33)*(D$4:D33))/SUMIFS(C$4:C33,A$4:A33,A33))</f>
        <v/>
      </c>
      <c r="F33" s="6"/>
      <c r="G33" s="6" t="str">
        <f t="shared" si="0"/>
        <v/>
      </c>
    </row>
    <row r="34" spans="1:7" x14ac:dyDescent="0.4">
      <c r="A34" s="4"/>
      <c r="B34" s="5"/>
      <c r="C34" s="6"/>
      <c r="D34" s="7"/>
      <c r="E34" s="7" t="str">
        <f>IF(OR(A34="",SUMIFS(C$4:C34,A$4:A34,A34)=0),"",SUMPRODUCT((A$4:A34=A34)*(C$4:C34)*(D$4:D34))/SUMIFS(C$4:C34,A$4:A34,A34))</f>
        <v/>
      </c>
      <c r="F34" s="6"/>
      <c r="G34" s="6" t="str">
        <f t="shared" si="0"/>
        <v/>
      </c>
    </row>
    <row r="35" spans="1:7" x14ac:dyDescent="0.4">
      <c r="A35" s="4"/>
      <c r="B35" s="5"/>
      <c r="C35" s="6"/>
      <c r="D35" s="7"/>
      <c r="E35" s="7" t="str">
        <f>IF(OR(A35="",SUMIFS(C$4:C35,A$4:A35,A35)=0),"",SUMPRODUCT((A$4:A35=A35)*(C$4:C35)*(D$4:D35))/SUMIFS(C$4:C35,A$4:A35,A35))</f>
        <v/>
      </c>
      <c r="F35" s="6"/>
      <c r="G35" s="6" t="str">
        <f t="shared" si="0"/>
        <v/>
      </c>
    </row>
    <row r="36" spans="1:7" x14ac:dyDescent="0.4">
      <c r="A36" s="4"/>
      <c r="B36" s="5"/>
      <c r="C36" s="6"/>
      <c r="D36" s="7"/>
      <c r="E36" s="7" t="str">
        <f>IF(OR(A36="",SUMIFS(C$4:C36,A$4:A36,A36)=0),"",SUMPRODUCT((A$4:A36=A36)*(C$4:C36)*(D$4:D36))/SUMIFS(C$4:C36,A$4:A36,A36))</f>
        <v/>
      </c>
      <c r="F36" s="6"/>
      <c r="G36" s="6" t="str">
        <f t="shared" ref="G36:G67" si="1">IF(C36="","",C36-IF(ISNUMBER(F36),F36,0))</f>
        <v/>
      </c>
    </row>
    <row r="37" spans="1:7" x14ac:dyDescent="0.4">
      <c r="A37" s="4"/>
      <c r="B37" s="5"/>
      <c r="C37" s="6"/>
      <c r="D37" s="7"/>
      <c r="E37" s="7" t="str">
        <f>IF(OR(A37="",SUMIFS(C$4:C37,A$4:A37,A37)=0),"",SUMPRODUCT((A$4:A37=A37)*(C$4:C37)*(D$4:D37))/SUMIFS(C$4:C37,A$4:A37,A37))</f>
        <v/>
      </c>
      <c r="F37" s="6"/>
      <c r="G37" s="6" t="str">
        <f t="shared" si="1"/>
        <v/>
      </c>
    </row>
    <row r="38" spans="1:7" x14ac:dyDescent="0.4">
      <c r="A38" s="4"/>
      <c r="B38" s="5"/>
      <c r="C38" s="6"/>
      <c r="D38" s="7"/>
      <c r="E38" s="7" t="str">
        <f>IF(OR(A38="",SUMIFS(C$4:C38,A$4:A38,A38)=0),"",SUMPRODUCT((A$4:A38=A38)*(C$4:C38)*(D$4:D38))/SUMIFS(C$4:C38,A$4:A38,A38))</f>
        <v/>
      </c>
      <c r="F38" s="6"/>
      <c r="G38" s="6" t="str">
        <f t="shared" si="1"/>
        <v/>
      </c>
    </row>
    <row r="39" spans="1:7" x14ac:dyDescent="0.4">
      <c r="A39" s="4"/>
      <c r="B39" s="5"/>
      <c r="C39" s="6"/>
      <c r="D39" s="7"/>
      <c r="E39" s="7" t="str">
        <f>IF(OR(A39="",SUMIFS(C$4:C39,A$4:A39,A39)=0),"",SUMPRODUCT((A$4:A39=A39)*(C$4:C39)*(D$4:D39))/SUMIFS(C$4:C39,A$4:A39,A39))</f>
        <v/>
      </c>
      <c r="F39" s="6"/>
      <c r="G39" s="6" t="str">
        <f t="shared" si="1"/>
        <v/>
      </c>
    </row>
    <row r="40" spans="1:7" x14ac:dyDescent="0.4">
      <c r="A40" s="4"/>
      <c r="B40" s="5"/>
      <c r="C40" s="6"/>
      <c r="D40" s="7"/>
      <c r="E40" s="7" t="str">
        <f>IF(OR(A40="",SUMIFS(C$4:C40,A$4:A40,A40)=0),"",SUMPRODUCT((A$4:A40=A40)*(C$4:C40)*(D$4:D40))/SUMIFS(C$4:C40,A$4:A40,A40))</f>
        <v/>
      </c>
      <c r="F40" s="6"/>
      <c r="G40" s="6" t="str">
        <f t="shared" si="1"/>
        <v/>
      </c>
    </row>
    <row r="41" spans="1:7" x14ac:dyDescent="0.4">
      <c r="A41" s="4"/>
      <c r="B41" s="5"/>
      <c r="C41" s="6"/>
      <c r="D41" s="7"/>
      <c r="E41" s="7" t="str">
        <f>IF(OR(A41="",SUMIFS(C$4:C41,A$4:A41,A41)=0),"",SUMPRODUCT((A$4:A41=A41)*(C$4:C41)*(D$4:D41))/SUMIFS(C$4:C41,A$4:A41,A41))</f>
        <v/>
      </c>
      <c r="F41" s="6"/>
      <c r="G41" s="6" t="str">
        <f t="shared" si="1"/>
        <v/>
      </c>
    </row>
    <row r="42" spans="1:7" x14ac:dyDescent="0.4">
      <c r="A42" s="4"/>
      <c r="B42" s="5"/>
      <c r="C42" s="6"/>
      <c r="D42" s="7"/>
      <c r="E42" s="7" t="str">
        <f>IF(OR(A42="",SUMIFS(C$4:C42,A$4:A42,A42)=0),"",SUMPRODUCT((A$4:A42=A42)*(C$4:C42)*(D$4:D42))/SUMIFS(C$4:C42,A$4:A42,A42))</f>
        <v/>
      </c>
      <c r="F42" s="6"/>
      <c r="G42" s="6" t="str">
        <f t="shared" si="1"/>
        <v/>
      </c>
    </row>
    <row r="43" spans="1:7" x14ac:dyDescent="0.4">
      <c r="A43" s="4"/>
      <c r="B43" s="5"/>
      <c r="C43" s="6"/>
      <c r="D43" s="7"/>
      <c r="E43" s="7" t="str">
        <f>IF(OR(A43="",SUMIFS(C$4:C43,A$4:A43,A43)=0),"",SUMPRODUCT((A$4:A43=A43)*(C$4:C43)*(D$4:D43))/SUMIFS(C$4:C43,A$4:A43,A43))</f>
        <v/>
      </c>
      <c r="F43" s="6"/>
      <c r="G43" s="6" t="str">
        <f t="shared" si="1"/>
        <v/>
      </c>
    </row>
    <row r="44" spans="1:7" x14ac:dyDescent="0.4">
      <c r="A44" s="4"/>
      <c r="B44" s="5"/>
      <c r="C44" s="6"/>
      <c r="D44" s="7"/>
      <c r="E44" s="7" t="str">
        <f>IF(OR(A44="",SUMIFS(C$4:C44,A$4:A44,A44)=0),"",SUMPRODUCT((A$4:A44=A44)*(C$4:C44)*(D$4:D44))/SUMIFS(C$4:C44,A$4:A44,A44))</f>
        <v/>
      </c>
      <c r="F44" s="6"/>
      <c r="G44" s="6" t="str">
        <f t="shared" si="1"/>
        <v/>
      </c>
    </row>
    <row r="45" spans="1:7" x14ac:dyDescent="0.4">
      <c r="A45" s="4"/>
      <c r="B45" s="5"/>
      <c r="C45" s="6"/>
      <c r="D45" s="7"/>
      <c r="E45" s="7" t="str">
        <f>IF(OR(A45="",SUMIFS(C$4:C45,A$4:A45,A45)=0),"",SUMPRODUCT((A$4:A45=A45)*(C$4:C45)*(D$4:D45))/SUMIFS(C$4:C45,A$4:A45,A45))</f>
        <v/>
      </c>
      <c r="F45" s="6"/>
      <c r="G45" s="6" t="str">
        <f t="shared" si="1"/>
        <v/>
      </c>
    </row>
    <row r="46" spans="1:7" x14ac:dyDescent="0.4">
      <c r="A46" s="4"/>
      <c r="B46" s="5"/>
      <c r="C46" s="6"/>
      <c r="D46" s="7"/>
      <c r="E46" s="7" t="str">
        <f>IF(OR(A46="",SUMIFS(C$4:C46,A$4:A46,A46)=0),"",SUMPRODUCT((A$4:A46=A46)*(C$4:C46)*(D$4:D46))/SUMIFS(C$4:C46,A$4:A46,A46))</f>
        <v/>
      </c>
      <c r="F46" s="6"/>
      <c r="G46" s="6" t="str">
        <f t="shared" si="1"/>
        <v/>
      </c>
    </row>
    <row r="47" spans="1:7" x14ac:dyDescent="0.4">
      <c r="A47" s="4"/>
      <c r="B47" s="5"/>
      <c r="C47" s="6"/>
      <c r="D47" s="7"/>
      <c r="E47" s="7" t="str">
        <f>IF(OR(A47="",SUMIFS(C$4:C47,A$4:A47,A47)=0),"",SUMPRODUCT((A$4:A47=A47)*(C$4:C47)*(D$4:D47))/SUMIFS(C$4:C47,A$4:A47,A47))</f>
        <v/>
      </c>
      <c r="F47" s="6"/>
      <c r="G47" s="6" t="str">
        <f t="shared" si="1"/>
        <v/>
      </c>
    </row>
    <row r="48" spans="1:7" x14ac:dyDescent="0.4">
      <c r="A48" s="4"/>
      <c r="B48" s="5"/>
      <c r="C48" s="6"/>
      <c r="D48" s="7"/>
      <c r="E48" s="7" t="str">
        <f>IF(OR(A48="",SUMIFS(C$4:C48,A$4:A48,A48)=0),"",SUMPRODUCT((A$4:A48=A48)*(C$4:C48)*(D$4:D48))/SUMIFS(C$4:C48,A$4:A48,A48))</f>
        <v/>
      </c>
      <c r="F48" s="6"/>
      <c r="G48" s="6" t="str">
        <f t="shared" si="1"/>
        <v/>
      </c>
    </row>
    <row r="49" spans="1:7" x14ac:dyDescent="0.4">
      <c r="A49" s="4"/>
      <c r="B49" s="5"/>
      <c r="C49" s="6"/>
      <c r="D49" s="7"/>
      <c r="E49" s="7" t="str">
        <f>IF(OR(A49="",SUMIFS(C$4:C49,A$4:A49,A49)=0),"",SUMPRODUCT((A$4:A49=A49)*(C$4:C49)*(D$4:D49))/SUMIFS(C$4:C49,A$4:A49,A49))</f>
        <v/>
      </c>
      <c r="F49" s="6"/>
      <c r="G49" s="6" t="str">
        <f t="shared" si="1"/>
        <v/>
      </c>
    </row>
    <row r="50" spans="1:7" x14ac:dyDescent="0.4">
      <c r="A50" s="4"/>
      <c r="B50" s="5"/>
      <c r="C50" s="6"/>
      <c r="D50" s="7"/>
      <c r="E50" s="7" t="str">
        <f>IF(OR(A50="",SUMIFS(C$4:C50,A$4:A50,A50)=0),"",SUMPRODUCT((A$4:A50=A50)*(C$4:C50)*(D$4:D50))/SUMIFS(C$4:C50,A$4:A50,A50))</f>
        <v/>
      </c>
      <c r="F50" s="6"/>
      <c r="G50" s="6" t="str">
        <f t="shared" si="1"/>
        <v/>
      </c>
    </row>
    <row r="51" spans="1:7" x14ac:dyDescent="0.4">
      <c r="A51" s="4"/>
      <c r="B51" s="5"/>
      <c r="C51" s="6"/>
      <c r="D51" s="7"/>
      <c r="E51" s="7" t="str">
        <f>IF(OR(A51="",SUMIFS(C$4:C51,A$4:A51,A51)=0),"",SUMPRODUCT((A$4:A51=A51)*(C$4:C51)*(D$4:D51))/SUMIFS(C$4:C51,A$4:A51,A51))</f>
        <v/>
      </c>
      <c r="F51" s="6"/>
      <c r="G51" s="6" t="str">
        <f t="shared" si="1"/>
        <v/>
      </c>
    </row>
    <row r="52" spans="1:7" x14ac:dyDescent="0.4">
      <c r="A52" s="4"/>
      <c r="B52" s="5"/>
      <c r="C52" s="6"/>
      <c r="D52" s="7"/>
      <c r="E52" s="7" t="str">
        <f>IF(OR(A52="",SUMIFS(C$4:C52,A$4:A52,A52)=0),"",SUMPRODUCT((A$4:A52=A52)*(C$4:C52)*(D$4:D52))/SUMIFS(C$4:C52,A$4:A52,A52))</f>
        <v/>
      </c>
      <c r="F52" s="6"/>
      <c r="G52" s="6" t="str">
        <f t="shared" si="1"/>
        <v/>
      </c>
    </row>
    <row r="53" spans="1:7" x14ac:dyDescent="0.4">
      <c r="A53" s="8" t="s">
        <v>33</v>
      </c>
      <c r="B53" s="8"/>
      <c r="C53" s="9">
        <f>SUM(C4:C52)</f>
        <v>4222</v>
      </c>
      <c r="D53" s="10">
        <f>IF(SUM(C4:C52)=0,0,SUMPRODUCT(C4:C52,D4:D52)/SUM(C4:C52))</f>
        <v>135.81937707247749</v>
      </c>
      <c r="E53" s="10">
        <f>AVERAGEIF(E4:E52,"&lt;&gt;0")</f>
        <v>110.45875529779548</v>
      </c>
      <c r="F53" s="9">
        <f>SUM(F4:F52)</f>
        <v>1547</v>
      </c>
      <c r="G53" s="9">
        <f>SUM(G4:G52)</f>
        <v>2675</v>
      </c>
    </row>
  </sheetData>
  <phoneticPr fontId="5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모델명을 선택해주세요." promptTitle="모델 선택" prompt="드롭다운에서 모델을 선택하세요.">
          <x14:formula1>
            <xm:f>모델_마스터!$B$11:$B$11</xm:f>
          </x14:formula1>
          <xm:sqref>A4:A52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A13" workbookViewId="0">
      <selection activeCell="A24" sqref="A24"/>
    </sheetView>
  </sheetViews>
  <sheetFormatPr defaultRowHeight="17.399999999999999" x14ac:dyDescent="0.4"/>
  <cols>
    <col min="1" max="1" width="34" customWidth="1"/>
    <col min="2" max="2" width="23" customWidth="1"/>
    <col min="3" max="4" width="18" customWidth="1"/>
    <col min="5" max="5" width="21" customWidth="1"/>
    <col min="6" max="7" width="18" customWidth="1"/>
  </cols>
  <sheetData>
    <row r="1" spans="1:7" ht="25.05" customHeight="1" x14ac:dyDescent="0.4">
      <c r="A1" s="2" t="s">
        <v>36</v>
      </c>
    </row>
    <row r="3" spans="1:7" ht="22.05" customHeight="1" x14ac:dyDescent="0.4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</row>
    <row r="4" spans="1:7" x14ac:dyDescent="0.4">
      <c r="A4" s="4" t="s">
        <v>16</v>
      </c>
      <c r="B4" s="5">
        <v>45992</v>
      </c>
      <c r="C4" s="6">
        <v>1749</v>
      </c>
      <c r="D4" s="7">
        <v>15.5</v>
      </c>
      <c r="E4" s="7">
        <f>IF(OR(A4="",SUMIFS(C$4:C4,A$4:A4,A4)=0),"",SUMPRODUCT((A$4:A4=A4)*(C$4:C4)*(D$4:D4))/SUMIFS(C$4:C4,A$4:A4,A4))</f>
        <v>15.5</v>
      </c>
      <c r="F4" s="6">
        <v>634</v>
      </c>
      <c r="G4" s="6">
        <f t="shared" ref="G4:G35" si="0">IF(C4="","",C4-IF(ISNUMBER(F4),F4,0))</f>
        <v>1115</v>
      </c>
    </row>
    <row r="5" spans="1:7" x14ac:dyDescent="0.4">
      <c r="A5" s="4" t="s">
        <v>16</v>
      </c>
      <c r="B5" s="5">
        <v>46023</v>
      </c>
      <c r="C5" s="6">
        <v>1115</v>
      </c>
      <c r="D5" s="7">
        <v>15.5</v>
      </c>
      <c r="E5" s="7">
        <f>IF(OR(A5="",SUMIFS(C$4:C5,A$4:A5,A5)=0),"",SUMPRODUCT((A$4:A5=A5)*(C$4:C5)*(D$4:D5))/SUMIFS(C$4:C5,A$4:A5,A5))</f>
        <v>15.5</v>
      </c>
      <c r="F5" s="6">
        <v>954</v>
      </c>
      <c r="G5" s="6">
        <f t="shared" si="0"/>
        <v>161</v>
      </c>
    </row>
    <row r="6" spans="1:7" x14ac:dyDescent="0.4">
      <c r="A6" s="4" t="s">
        <v>16</v>
      </c>
      <c r="B6" s="5">
        <v>46054</v>
      </c>
      <c r="C6" s="6">
        <v>161</v>
      </c>
      <c r="D6" s="7">
        <v>15.5</v>
      </c>
      <c r="E6" s="7">
        <f>IF(OR(A6="",SUMIFS(C$4:C6,A$4:A6,A6)=0),"",SUMPRODUCT((A$4:A6=A6)*(C$4:C6)*(D$4:D6))/SUMIFS(C$4:C6,A$4:A6,A6))</f>
        <v>15.5</v>
      </c>
      <c r="F6" s="6">
        <v>350</v>
      </c>
      <c r="G6" s="6">
        <f t="shared" si="0"/>
        <v>-189</v>
      </c>
    </row>
    <row r="7" spans="1:7" x14ac:dyDescent="0.4">
      <c r="A7" s="4" t="s">
        <v>16</v>
      </c>
      <c r="B7" s="5">
        <v>46082</v>
      </c>
      <c r="C7" s="6">
        <v>1580</v>
      </c>
      <c r="D7" s="7">
        <v>47.43</v>
      </c>
      <c r="E7" s="7">
        <f>IF(OR(A7="",SUMIFS(C$4:C7,A$4:A7,A7)=0),"",SUMPRODUCT((A$4:A7=A7)*(C$4:C7)*(D$4:D7))/SUMIFS(C$4:C7,A$4:A7,A7))</f>
        <v>26.455352877307273</v>
      </c>
      <c r="F7" s="6">
        <v>1048</v>
      </c>
      <c r="G7" s="6">
        <f t="shared" si="0"/>
        <v>532</v>
      </c>
    </row>
    <row r="8" spans="1:7" x14ac:dyDescent="0.4">
      <c r="A8" s="4" t="s">
        <v>16</v>
      </c>
      <c r="B8" s="5">
        <v>46113</v>
      </c>
      <c r="C8" s="6">
        <v>2032</v>
      </c>
      <c r="D8" s="7">
        <v>53.39</v>
      </c>
      <c r="E8" s="7">
        <f>IF(OR(A8="",SUMIFS(C$4:C8,A$4:A8,A8)=0),"",SUMPRODUCT((A$4:A8=A8)*(C$4:C8)*(D$4:D8))/SUMIFS(C$4:C8,A$4:A8,A8))</f>
        <v>34.701729697152331</v>
      </c>
      <c r="F8" s="6">
        <v>869</v>
      </c>
      <c r="G8" s="6">
        <f t="shared" si="0"/>
        <v>1163</v>
      </c>
    </row>
    <row r="9" spans="1:7" x14ac:dyDescent="0.4">
      <c r="A9" s="4" t="s">
        <v>16</v>
      </c>
      <c r="B9" s="5">
        <v>46143</v>
      </c>
      <c r="C9" s="6">
        <v>3163</v>
      </c>
      <c r="D9" s="7">
        <v>60.64</v>
      </c>
      <c r="E9" s="7">
        <f>IF(OR(A9="",SUMIFS(C$4:C9,A$4:A9,A9)=0),"",SUMPRODUCT((A$4:A9=A9)*(C$4:C9)*(D$4:D9))/SUMIFS(C$4:C9,A$4:A9,A9))</f>
        <v>43.073438775510205</v>
      </c>
      <c r="F9" s="6">
        <v>623</v>
      </c>
      <c r="G9" s="6">
        <f t="shared" si="0"/>
        <v>2540</v>
      </c>
    </row>
    <row r="10" spans="1:7" x14ac:dyDescent="0.4">
      <c r="A10" s="4" t="s">
        <v>16</v>
      </c>
      <c r="B10" s="5">
        <v>46174</v>
      </c>
      <c r="C10" s="6">
        <v>4540</v>
      </c>
      <c r="D10" s="7">
        <v>63.1</v>
      </c>
      <c r="E10" s="7">
        <f>IF(OR(A10="",SUMIFS(C$4:C10,A$4:A10,A10)=0),"",SUMPRODUCT((A$4:A10=A10)*(C$4:C10)*(D$4:D10))/SUMIFS(C$4:C10,A$4:A10,A10))</f>
        <v>49.41378661087866</v>
      </c>
      <c r="F10" s="6">
        <v>269</v>
      </c>
      <c r="G10" s="6">
        <f t="shared" si="0"/>
        <v>4271</v>
      </c>
    </row>
    <row r="11" spans="1:7" x14ac:dyDescent="0.4">
      <c r="A11" s="4" t="s">
        <v>16</v>
      </c>
      <c r="B11" s="5">
        <v>46204</v>
      </c>
      <c r="C11" s="6">
        <v>4271</v>
      </c>
      <c r="D11" s="7">
        <v>63.1</v>
      </c>
      <c r="E11" s="7">
        <f>IF(OR(A11="",SUMIFS(C$4:C11,A$4:A11,A11)=0),"",SUMPRODUCT((A$4:A11=A11)*(C$4:C11)*(D$4:D11))/SUMIFS(C$4:C11,A$4:A11,A11))</f>
        <v>52.554607490193973</v>
      </c>
      <c r="F11" s="6">
        <v>282</v>
      </c>
      <c r="G11" s="6">
        <f t="shared" si="0"/>
        <v>3989</v>
      </c>
    </row>
    <row r="12" spans="1:7" x14ac:dyDescent="0.4">
      <c r="A12" s="4" t="s">
        <v>16</v>
      </c>
      <c r="B12" s="5">
        <v>46235</v>
      </c>
      <c r="C12" s="6">
        <v>3989</v>
      </c>
      <c r="D12" s="7">
        <v>63.1</v>
      </c>
      <c r="E12" s="7">
        <f>IF(OR(A12="",SUMIFS(C$4:C12,A$4:A12,A12)=0),"",SUMPRODUCT((A$4:A12=A12)*(C$4:C12)*(D$4:D12))/SUMIFS(C$4:C12,A$4:A12,A12))</f>
        <v>54.415915929203535</v>
      </c>
      <c r="F12" s="6">
        <v>435</v>
      </c>
      <c r="G12" s="6">
        <f t="shared" si="0"/>
        <v>3554</v>
      </c>
    </row>
    <row r="13" spans="1:7" x14ac:dyDescent="0.4">
      <c r="A13" s="4" t="s">
        <v>16</v>
      </c>
      <c r="B13" s="5">
        <v>46266</v>
      </c>
      <c r="C13" s="6">
        <v>3554</v>
      </c>
      <c r="D13" s="7">
        <v>63.1</v>
      </c>
      <c r="E13" s="7">
        <f>IF(OR(A13="",SUMIFS(C$4:C13,A$4:A13,A13)=0),"",SUMPRODUCT((A$4:A13=A13)*(C$4:C13)*(D$4:D13))/SUMIFS(C$4:C13,A$4:A13,A13))</f>
        <v>55.595973847212662</v>
      </c>
      <c r="F13" s="6"/>
      <c r="G13" s="6">
        <f t="shared" si="0"/>
        <v>3554</v>
      </c>
    </row>
    <row r="14" spans="1:7" x14ac:dyDescent="0.4">
      <c r="A14" s="4" t="s">
        <v>16</v>
      </c>
      <c r="B14" s="5">
        <v>46054</v>
      </c>
      <c r="C14" s="6">
        <v>2000</v>
      </c>
      <c r="D14" s="7">
        <v>50</v>
      </c>
      <c r="E14" s="7">
        <f>IF(OR(A14="",SUMIFS(C$4:C14,A$4:A14,A14)=0),"",SUMPRODUCT((A$4:A14=A14)*(C$4:C14)*(D$4:D14))/SUMIFS(C$4:C14,A$4:A14,A14))</f>
        <v>55.198447822689488</v>
      </c>
      <c r="F14" s="6">
        <v>231</v>
      </c>
      <c r="G14" s="6">
        <f t="shared" si="0"/>
        <v>1769</v>
      </c>
    </row>
    <row r="15" spans="1:7" x14ac:dyDescent="0.4">
      <c r="A15" s="4" t="s">
        <v>16</v>
      </c>
      <c r="B15" s="5">
        <v>46082</v>
      </c>
      <c r="C15" s="6">
        <v>500</v>
      </c>
      <c r="D15" s="7">
        <v>63</v>
      </c>
      <c r="E15" s="7">
        <f>IF(OR(A15="",SUMIFS(C$4:C15,A$4:A15,A15)=0),"",SUMPRODUCT((A$4:A15=A15)*(C$4:C15)*(D$4:D15))/SUMIFS(C$4:C15,A$4:A15,A15))</f>
        <v>55.334581559293639</v>
      </c>
      <c r="F15" s="6"/>
      <c r="G15" s="6">
        <f t="shared" si="0"/>
        <v>500</v>
      </c>
    </row>
    <row r="16" spans="1:7" x14ac:dyDescent="0.4">
      <c r="A16" s="4" t="s">
        <v>16</v>
      </c>
      <c r="B16" s="5">
        <v>46113</v>
      </c>
      <c r="C16" s="6">
        <v>2000</v>
      </c>
      <c r="D16" s="7">
        <v>68</v>
      </c>
      <c r="E16" s="7">
        <f>IF(OR(A16="",SUMIFS(C$4:C16,A$4:A16,A16)=0),"",SUMPRODUCT((A$4:A16=A16)*(C$4:C16)*(D$4:D16))/SUMIFS(C$4:C16,A$4:A16,A16))</f>
        <v>56.160928426958954</v>
      </c>
      <c r="F16" s="6"/>
      <c r="G16" s="6">
        <f t="shared" si="0"/>
        <v>2000</v>
      </c>
    </row>
    <row r="17" spans="1:7" x14ac:dyDescent="0.4">
      <c r="A17" s="4" t="s">
        <v>16</v>
      </c>
      <c r="B17" s="5">
        <v>46143</v>
      </c>
      <c r="C17" s="6">
        <v>2000</v>
      </c>
      <c r="D17" s="7">
        <v>67</v>
      </c>
      <c r="E17" s="7">
        <f>IF(OR(A17="",SUMIFS(C$4:C17,A$4:A17,A17)=0),"",SUMPRODUCT((A$4:A17=A17)*(C$4:C17)*(D$4:D17))/SUMIFS(C$4:C17,A$4:A17,A17))</f>
        <v>56.824802474428857</v>
      </c>
      <c r="F17" s="6"/>
      <c r="G17" s="6">
        <f t="shared" si="0"/>
        <v>2000</v>
      </c>
    </row>
    <row r="18" spans="1:7" x14ac:dyDescent="0.4">
      <c r="A18" s="4" t="s">
        <v>16</v>
      </c>
      <c r="B18" s="5">
        <v>46082</v>
      </c>
      <c r="C18" s="6">
        <v>1000</v>
      </c>
      <c r="D18" s="7">
        <v>58</v>
      </c>
      <c r="E18" s="7">
        <f>IF(OR(A18="",SUMIFS(C$4:C18,A$4:A18,A18)=0),"",SUMPRODUCT((A$4:A18=A18)*(C$4:C18)*(D$4:D18))/SUMIFS(C$4:C18,A$4:A18,A18))</f>
        <v>56.859722469840136</v>
      </c>
      <c r="F18" s="6"/>
      <c r="G18" s="6">
        <f t="shared" si="0"/>
        <v>1000</v>
      </c>
    </row>
    <row r="19" spans="1:7" x14ac:dyDescent="0.4">
      <c r="A19" s="4" t="s">
        <v>17</v>
      </c>
      <c r="B19" s="5">
        <v>45992</v>
      </c>
      <c r="C19" s="6">
        <v>968</v>
      </c>
      <c r="D19" s="7">
        <v>10.5</v>
      </c>
      <c r="E19" s="7">
        <f>IF(OR(A19="",SUMIFS(C$4:C19,A$4:A19,A19)=0),"",SUMPRODUCT((A$4:A19=A19)*(C$4:C19)*(D$4:D19))/SUMIFS(C$4:C19,A$4:A19,A19))</f>
        <v>10.5</v>
      </c>
      <c r="F19" s="6">
        <v>240</v>
      </c>
      <c r="G19" s="6">
        <f t="shared" si="0"/>
        <v>728</v>
      </c>
    </row>
    <row r="20" spans="1:7" x14ac:dyDescent="0.4">
      <c r="A20" s="4" t="s">
        <v>17</v>
      </c>
      <c r="B20" s="5">
        <v>46023</v>
      </c>
      <c r="C20" s="6">
        <v>728</v>
      </c>
      <c r="D20" s="7">
        <v>10.5</v>
      </c>
      <c r="E20" s="7">
        <f>IF(OR(A20="",SUMIFS(C$4:C20,A$4:A20,A20)=0),"",SUMPRODUCT((A$4:A20=A20)*(C$4:C20)*(D$4:D20))/SUMIFS(C$4:C20,A$4:A20,A20))</f>
        <v>10.5</v>
      </c>
      <c r="F20" s="6">
        <v>366</v>
      </c>
      <c r="G20" s="6">
        <f t="shared" si="0"/>
        <v>362</v>
      </c>
    </row>
    <row r="21" spans="1:7" x14ac:dyDescent="0.4">
      <c r="A21" s="4" t="s">
        <v>17</v>
      </c>
      <c r="B21" s="5">
        <v>46054</v>
      </c>
      <c r="C21" s="6">
        <v>362</v>
      </c>
      <c r="D21" s="7">
        <v>10.5</v>
      </c>
      <c r="E21" s="7">
        <f>IF(OR(A21="",SUMIFS(C$4:C21,A$4:A21,A21)=0),"",SUMPRODUCT((A$4:A21=A21)*(C$4:C21)*(D$4:D21))/SUMIFS(C$4:C21,A$4:A21,A21))</f>
        <v>10.5</v>
      </c>
      <c r="F21" s="6">
        <v>165</v>
      </c>
      <c r="G21" s="6">
        <f t="shared" si="0"/>
        <v>197</v>
      </c>
    </row>
    <row r="22" spans="1:7" x14ac:dyDescent="0.4">
      <c r="A22" s="4" t="s">
        <v>17</v>
      </c>
      <c r="B22" s="5">
        <v>46082</v>
      </c>
      <c r="C22" s="6">
        <v>1093</v>
      </c>
      <c r="D22" s="7">
        <v>22.61</v>
      </c>
      <c r="E22" s="7">
        <f>IF(OR(A22="",SUMIFS(C$4:C22,A$4:A22,A22)=0),"",SUMPRODUCT((A$4:A22=A22)*(C$4:C22)*(D$4:D22))/SUMIFS(C$4:C22,A$4:A22,A22))</f>
        <v>14.700644239923832</v>
      </c>
      <c r="F22" s="6">
        <v>268</v>
      </c>
      <c r="G22" s="6">
        <f t="shared" si="0"/>
        <v>825</v>
      </c>
    </row>
    <row r="23" spans="1:7" x14ac:dyDescent="0.4">
      <c r="A23" s="4" t="s">
        <v>17</v>
      </c>
      <c r="B23" s="5">
        <v>46113</v>
      </c>
      <c r="C23" s="6">
        <v>825</v>
      </c>
      <c r="D23" s="7">
        <v>22.61</v>
      </c>
      <c r="E23" s="7">
        <f>IF(OR(A23="",SUMIFS(C$4:C23,A$4:A23,A23)=0),"",SUMPRODUCT((A$4:A23=A23)*(C$4:C23)*(D$4:D23))/SUMIFS(C$4:C23,A$4:A23,A23))</f>
        <v>16.341795774647885</v>
      </c>
      <c r="F23" s="6">
        <v>280</v>
      </c>
      <c r="G23" s="6">
        <f t="shared" si="0"/>
        <v>545</v>
      </c>
    </row>
    <row r="24" spans="1:7" x14ac:dyDescent="0.4">
      <c r="A24" s="4" t="s">
        <v>17</v>
      </c>
      <c r="B24" s="5">
        <v>46143</v>
      </c>
      <c r="C24" s="6">
        <v>545</v>
      </c>
      <c r="D24" s="7">
        <v>22.61</v>
      </c>
      <c r="E24" s="7">
        <f>IF(OR(A24="",SUMIFS(C$4:C24,A$4:A24,A24)=0),"",SUMPRODUCT((A$4:A24=A24)*(C$4:C24)*(D$4:D24))/SUMIFS(C$4:C24,A$4:A24,A24))</f>
        <v>17.097418712674184</v>
      </c>
      <c r="F24" s="6">
        <v>229</v>
      </c>
      <c r="G24" s="6">
        <f t="shared" si="0"/>
        <v>316</v>
      </c>
    </row>
    <row r="25" spans="1:7" x14ac:dyDescent="0.4">
      <c r="A25" s="4" t="s">
        <v>17</v>
      </c>
      <c r="B25" s="5">
        <v>46174</v>
      </c>
      <c r="C25" s="6">
        <v>1816</v>
      </c>
      <c r="D25" s="7">
        <v>33.9</v>
      </c>
      <c r="E25" s="7">
        <f>IF(OR(A25="",SUMIFS(C$4:C25,A$4:A25,A25)=0),"",SUMPRODUCT((A$4:A25=A25)*(C$4:C25)*(D$4:D25))/SUMIFS(C$4:C25,A$4:A25,A25))</f>
        <v>21.912550102572194</v>
      </c>
      <c r="F25" s="6">
        <v>531</v>
      </c>
      <c r="G25" s="6">
        <f t="shared" si="0"/>
        <v>1285</v>
      </c>
    </row>
    <row r="26" spans="1:7" x14ac:dyDescent="0.4">
      <c r="A26" s="4" t="s">
        <v>17</v>
      </c>
      <c r="B26" s="5">
        <v>46204</v>
      </c>
      <c r="C26" s="6">
        <v>1041</v>
      </c>
      <c r="D26" s="7">
        <v>33.9</v>
      </c>
      <c r="E26" s="7">
        <f>IF(OR(A26="",SUMIFS(C$4:C26,A$4:A26,A26)=0),"",SUMPRODUCT((A$4:A26=A26)*(C$4:C26)*(D$4:D26))/SUMIFS(C$4:C26,A$4:A26,A26))</f>
        <v>23.603921116833828</v>
      </c>
      <c r="F26" s="6">
        <v>245</v>
      </c>
      <c r="G26" s="6">
        <f t="shared" si="0"/>
        <v>796</v>
      </c>
    </row>
    <row r="27" spans="1:7" x14ac:dyDescent="0.4">
      <c r="A27" s="4" t="s">
        <v>17</v>
      </c>
      <c r="B27" s="5">
        <v>46235</v>
      </c>
      <c r="C27" s="6">
        <v>796</v>
      </c>
      <c r="D27" s="7">
        <v>33.9</v>
      </c>
      <c r="E27" s="7">
        <f>IF(OR(A27="",SUMIFS(C$4:C27,A$4:A27,A27)=0),"",SUMPRODUCT((A$4:A27=A27)*(C$4:C27)*(D$4:D27))/SUMIFS(C$4:C27,A$4:A27,A27))</f>
        <v>24.606573281135304</v>
      </c>
      <c r="F27" s="6">
        <v>455</v>
      </c>
      <c r="G27" s="6">
        <f t="shared" si="0"/>
        <v>341</v>
      </c>
    </row>
    <row r="28" spans="1:7" x14ac:dyDescent="0.4">
      <c r="A28" s="4" t="s">
        <v>17</v>
      </c>
      <c r="B28" s="5">
        <v>46266</v>
      </c>
      <c r="C28" s="6">
        <v>341</v>
      </c>
      <c r="D28" s="7">
        <v>33.9</v>
      </c>
      <c r="E28" s="7">
        <f>IF(OR(A28="",SUMIFS(C$4:C28,A$4:A28,A28)=0),"",SUMPRODUCT((A$4:A28=A28)*(C$4:C28)*(D$4:D28))/SUMIFS(C$4:C28,A$4:A28,A28))</f>
        <v>24.97874691720493</v>
      </c>
      <c r="F28" s="6"/>
      <c r="G28" s="6">
        <f t="shared" si="0"/>
        <v>341</v>
      </c>
    </row>
    <row r="29" spans="1:7" x14ac:dyDescent="0.4">
      <c r="A29" s="4" t="s">
        <v>17</v>
      </c>
      <c r="B29" s="5">
        <v>46054</v>
      </c>
      <c r="C29" s="6">
        <v>1000</v>
      </c>
      <c r="D29" s="7">
        <v>27</v>
      </c>
      <c r="E29" s="7">
        <f>IF(OR(A29="",SUMIFS(C$4:C29,A$4:A29,A29)=0),"",SUMPRODUCT((A$4:A29=A29)*(C$4:C29)*(D$4:D29))/SUMIFS(C$4:C29,A$4:A29,A29))</f>
        <v>25.191174986862844</v>
      </c>
      <c r="F29" s="6">
        <v>104</v>
      </c>
      <c r="G29" s="6">
        <f t="shared" si="0"/>
        <v>896</v>
      </c>
    </row>
    <row r="30" spans="1:7" x14ac:dyDescent="0.4">
      <c r="A30" s="4" t="s">
        <v>17</v>
      </c>
      <c r="B30" s="5">
        <v>46143</v>
      </c>
      <c r="C30" s="6">
        <v>1500</v>
      </c>
      <c r="D30" s="7">
        <v>38</v>
      </c>
      <c r="E30" s="7">
        <f>IF(OR(A30="",SUMIFS(C$4:C30,A$4:A30,A30)=0),"",SUMPRODUCT((A$4:A30=A30)*(C$4:C30)*(D$4:D30))/SUMIFS(C$4:C30,A$4:A30,A30))</f>
        <v>26.935454380390375</v>
      </c>
      <c r="F30" s="6"/>
      <c r="G30" s="6">
        <f t="shared" si="0"/>
        <v>1500</v>
      </c>
    </row>
    <row r="31" spans="1:7" x14ac:dyDescent="0.4">
      <c r="A31" s="4"/>
      <c r="B31" s="5"/>
      <c r="C31" s="6"/>
      <c r="D31" s="7"/>
      <c r="E31" s="7" t="str">
        <f>IF(OR(A31="",SUMIFS(C$4:C31,A$4:A31,A31)=0),"",SUMPRODUCT((A$4:A31=A31)*(C$4:C31)*(D$4:D31))/SUMIFS(C$4:C31,A$4:A31,A31))</f>
        <v/>
      </c>
      <c r="F31" s="6"/>
      <c r="G31" s="6" t="str">
        <f t="shared" si="0"/>
        <v/>
      </c>
    </row>
    <row r="32" spans="1:7" x14ac:dyDescent="0.4">
      <c r="A32" s="4"/>
      <c r="B32" s="5"/>
      <c r="C32" s="6"/>
      <c r="D32" s="7"/>
      <c r="E32" s="7" t="str">
        <f>IF(OR(A32="",SUMIFS(C$4:C32,A$4:A32,A32)=0),"",SUMPRODUCT((A$4:A32=A32)*(C$4:C32)*(D$4:D32))/SUMIFS(C$4:C32,A$4:A32,A32))</f>
        <v/>
      </c>
      <c r="F32" s="6"/>
      <c r="G32" s="6" t="str">
        <f t="shared" si="0"/>
        <v/>
      </c>
    </row>
    <row r="33" spans="1:7" x14ac:dyDescent="0.4">
      <c r="A33" s="4"/>
      <c r="B33" s="5"/>
      <c r="C33" s="6"/>
      <c r="D33" s="7"/>
      <c r="E33" s="7" t="str">
        <f>IF(OR(A33="",SUMIFS(C$4:C33,A$4:A33,A33)=0),"",SUMPRODUCT((A$4:A33=A33)*(C$4:C33)*(D$4:D33))/SUMIFS(C$4:C33,A$4:A33,A33))</f>
        <v/>
      </c>
      <c r="F33" s="6"/>
      <c r="G33" s="6" t="str">
        <f t="shared" si="0"/>
        <v/>
      </c>
    </row>
    <row r="34" spans="1:7" x14ac:dyDescent="0.4">
      <c r="A34" s="4"/>
      <c r="B34" s="5"/>
      <c r="C34" s="6"/>
      <c r="D34" s="7"/>
      <c r="E34" s="7" t="str">
        <f>IF(OR(A34="",SUMIFS(C$4:C34,A$4:A34,A34)=0),"",SUMPRODUCT((A$4:A34=A34)*(C$4:C34)*(D$4:D34))/SUMIFS(C$4:C34,A$4:A34,A34))</f>
        <v/>
      </c>
      <c r="F34" s="6"/>
      <c r="G34" s="6" t="str">
        <f t="shared" si="0"/>
        <v/>
      </c>
    </row>
    <row r="35" spans="1:7" x14ac:dyDescent="0.4">
      <c r="A35" s="4"/>
      <c r="B35" s="5"/>
      <c r="C35" s="6"/>
      <c r="D35" s="7"/>
      <c r="E35" s="7" t="str">
        <f>IF(OR(A35="",SUMIFS(C$4:C35,A$4:A35,A35)=0),"",SUMPRODUCT((A$4:A35=A35)*(C$4:C35)*(D$4:D35))/SUMIFS(C$4:C35,A$4:A35,A35))</f>
        <v/>
      </c>
      <c r="F35" s="6"/>
      <c r="G35" s="6" t="str">
        <f t="shared" si="0"/>
        <v/>
      </c>
    </row>
    <row r="36" spans="1:7" x14ac:dyDescent="0.4">
      <c r="A36" s="4"/>
      <c r="B36" s="5"/>
      <c r="C36" s="6"/>
      <c r="D36" s="7"/>
      <c r="E36" s="7" t="str">
        <f>IF(OR(A36="",SUMIFS(C$4:C36,A$4:A36,A36)=0),"",SUMPRODUCT((A$4:A36=A36)*(C$4:C36)*(D$4:D36))/SUMIFS(C$4:C36,A$4:A36,A36))</f>
        <v/>
      </c>
      <c r="F36" s="6"/>
      <c r="G36" s="6" t="str">
        <f t="shared" ref="G36:G67" si="1">IF(C36="","",C36-IF(ISNUMBER(F36),F36,0))</f>
        <v/>
      </c>
    </row>
    <row r="37" spans="1:7" x14ac:dyDescent="0.4">
      <c r="A37" s="4"/>
      <c r="B37" s="5"/>
      <c r="C37" s="6"/>
      <c r="D37" s="7"/>
      <c r="E37" s="7" t="str">
        <f>IF(OR(A37="",SUMIFS(C$4:C37,A$4:A37,A37)=0),"",SUMPRODUCT((A$4:A37=A37)*(C$4:C37)*(D$4:D37))/SUMIFS(C$4:C37,A$4:A37,A37))</f>
        <v/>
      </c>
      <c r="F37" s="6"/>
      <c r="G37" s="6" t="str">
        <f t="shared" si="1"/>
        <v/>
      </c>
    </row>
    <row r="38" spans="1:7" x14ac:dyDescent="0.4">
      <c r="A38" s="4"/>
      <c r="B38" s="5"/>
      <c r="C38" s="6"/>
      <c r="D38" s="7"/>
      <c r="E38" s="7" t="str">
        <f>IF(OR(A38="",SUMIFS(C$4:C38,A$4:A38,A38)=0),"",SUMPRODUCT((A$4:A38=A38)*(C$4:C38)*(D$4:D38))/SUMIFS(C$4:C38,A$4:A38,A38))</f>
        <v/>
      </c>
      <c r="F38" s="6"/>
      <c r="G38" s="6" t="str">
        <f t="shared" si="1"/>
        <v/>
      </c>
    </row>
    <row r="39" spans="1:7" x14ac:dyDescent="0.4">
      <c r="A39" s="4"/>
      <c r="B39" s="5"/>
      <c r="C39" s="6"/>
      <c r="D39" s="7"/>
      <c r="E39" s="7" t="str">
        <f>IF(OR(A39="",SUMIFS(C$4:C39,A$4:A39,A39)=0),"",SUMPRODUCT((A$4:A39=A39)*(C$4:C39)*(D$4:D39))/SUMIFS(C$4:C39,A$4:A39,A39))</f>
        <v/>
      </c>
      <c r="F39" s="6"/>
      <c r="G39" s="6" t="str">
        <f t="shared" si="1"/>
        <v/>
      </c>
    </row>
    <row r="40" spans="1:7" x14ac:dyDescent="0.4">
      <c r="A40" s="4"/>
      <c r="B40" s="5"/>
      <c r="C40" s="6"/>
      <c r="D40" s="7"/>
      <c r="E40" s="7" t="str">
        <f>IF(OR(A40="",SUMIFS(C$4:C40,A$4:A40,A40)=0),"",SUMPRODUCT((A$4:A40=A40)*(C$4:C40)*(D$4:D40))/SUMIFS(C$4:C40,A$4:A40,A40))</f>
        <v/>
      </c>
      <c r="F40" s="6"/>
      <c r="G40" s="6" t="str">
        <f t="shared" si="1"/>
        <v/>
      </c>
    </row>
    <row r="41" spans="1:7" x14ac:dyDescent="0.4">
      <c r="A41" s="4"/>
      <c r="B41" s="5"/>
      <c r="C41" s="6"/>
      <c r="D41" s="7"/>
      <c r="E41" s="7" t="str">
        <f>IF(OR(A41="",SUMIFS(C$4:C41,A$4:A41,A41)=0),"",SUMPRODUCT((A$4:A41=A41)*(C$4:C41)*(D$4:D41))/SUMIFS(C$4:C41,A$4:A41,A41))</f>
        <v/>
      </c>
      <c r="F41" s="6"/>
      <c r="G41" s="6" t="str">
        <f t="shared" si="1"/>
        <v/>
      </c>
    </row>
    <row r="42" spans="1:7" x14ac:dyDescent="0.4">
      <c r="A42" s="4"/>
      <c r="B42" s="5"/>
      <c r="C42" s="6"/>
      <c r="D42" s="7"/>
      <c r="E42" s="7" t="str">
        <f>IF(OR(A42="",SUMIFS(C$4:C42,A$4:A42,A42)=0),"",SUMPRODUCT((A$4:A42=A42)*(C$4:C42)*(D$4:D42))/SUMIFS(C$4:C42,A$4:A42,A42))</f>
        <v/>
      </c>
      <c r="F42" s="6"/>
      <c r="G42" s="6" t="str">
        <f t="shared" si="1"/>
        <v/>
      </c>
    </row>
    <row r="43" spans="1:7" x14ac:dyDescent="0.4">
      <c r="A43" s="4"/>
      <c r="B43" s="5"/>
      <c r="C43" s="6"/>
      <c r="D43" s="7"/>
      <c r="E43" s="7" t="str">
        <f>IF(OR(A43="",SUMIFS(C$4:C43,A$4:A43,A43)=0),"",SUMPRODUCT((A$4:A43=A43)*(C$4:C43)*(D$4:D43))/SUMIFS(C$4:C43,A$4:A43,A43))</f>
        <v/>
      </c>
      <c r="F43" s="6"/>
      <c r="G43" s="6" t="str">
        <f t="shared" si="1"/>
        <v/>
      </c>
    </row>
    <row r="44" spans="1:7" x14ac:dyDescent="0.4">
      <c r="A44" s="4"/>
      <c r="B44" s="5"/>
      <c r="C44" s="6"/>
      <c r="D44" s="7"/>
      <c r="E44" s="7" t="str">
        <f>IF(OR(A44="",SUMIFS(C$4:C44,A$4:A44,A44)=0),"",SUMPRODUCT((A$4:A44=A44)*(C$4:C44)*(D$4:D44))/SUMIFS(C$4:C44,A$4:A44,A44))</f>
        <v/>
      </c>
      <c r="F44" s="6"/>
      <c r="G44" s="6" t="str">
        <f t="shared" si="1"/>
        <v/>
      </c>
    </row>
    <row r="45" spans="1:7" x14ac:dyDescent="0.4">
      <c r="A45" s="4"/>
      <c r="B45" s="5"/>
      <c r="C45" s="6"/>
      <c r="D45" s="7"/>
      <c r="E45" s="7" t="str">
        <f>IF(OR(A45="",SUMIFS(C$4:C45,A$4:A45,A45)=0),"",SUMPRODUCT((A$4:A45=A45)*(C$4:C45)*(D$4:D45))/SUMIFS(C$4:C45,A$4:A45,A45))</f>
        <v/>
      </c>
      <c r="F45" s="6"/>
      <c r="G45" s="6" t="str">
        <f t="shared" si="1"/>
        <v/>
      </c>
    </row>
    <row r="46" spans="1:7" x14ac:dyDescent="0.4">
      <c r="A46" s="4"/>
      <c r="B46" s="5"/>
      <c r="C46" s="6"/>
      <c r="D46" s="7"/>
      <c r="E46" s="7" t="str">
        <f>IF(OR(A46="",SUMIFS(C$4:C46,A$4:A46,A46)=0),"",SUMPRODUCT((A$4:A46=A46)*(C$4:C46)*(D$4:D46))/SUMIFS(C$4:C46,A$4:A46,A46))</f>
        <v/>
      </c>
      <c r="F46" s="6"/>
      <c r="G46" s="6" t="str">
        <f t="shared" si="1"/>
        <v/>
      </c>
    </row>
    <row r="47" spans="1:7" x14ac:dyDescent="0.4">
      <c r="A47" s="4"/>
      <c r="B47" s="5"/>
      <c r="C47" s="6"/>
      <c r="D47" s="7"/>
      <c r="E47" s="7" t="str">
        <f>IF(OR(A47="",SUMIFS(C$4:C47,A$4:A47,A47)=0),"",SUMPRODUCT((A$4:A47=A47)*(C$4:C47)*(D$4:D47))/SUMIFS(C$4:C47,A$4:A47,A47))</f>
        <v/>
      </c>
      <c r="F47" s="6"/>
      <c r="G47" s="6" t="str">
        <f t="shared" si="1"/>
        <v/>
      </c>
    </row>
    <row r="48" spans="1:7" x14ac:dyDescent="0.4">
      <c r="A48" s="4"/>
      <c r="B48" s="5"/>
      <c r="C48" s="6"/>
      <c r="D48" s="7"/>
      <c r="E48" s="7" t="str">
        <f>IF(OR(A48="",SUMIFS(C$4:C48,A$4:A48,A48)=0),"",SUMPRODUCT((A$4:A48=A48)*(C$4:C48)*(D$4:D48))/SUMIFS(C$4:C48,A$4:A48,A48))</f>
        <v/>
      </c>
      <c r="F48" s="6"/>
      <c r="G48" s="6" t="str">
        <f t="shared" si="1"/>
        <v/>
      </c>
    </row>
    <row r="49" spans="1:7" x14ac:dyDescent="0.4">
      <c r="A49" s="4"/>
      <c r="B49" s="5"/>
      <c r="C49" s="6"/>
      <c r="D49" s="7"/>
      <c r="E49" s="7" t="str">
        <f>IF(OR(A49="",SUMIFS(C$4:C49,A$4:A49,A49)=0),"",SUMPRODUCT((A$4:A49=A49)*(C$4:C49)*(D$4:D49))/SUMIFS(C$4:C49,A$4:A49,A49))</f>
        <v/>
      </c>
      <c r="F49" s="6"/>
      <c r="G49" s="6" t="str">
        <f t="shared" si="1"/>
        <v/>
      </c>
    </row>
    <row r="50" spans="1:7" x14ac:dyDescent="0.4">
      <c r="A50" s="4"/>
      <c r="B50" s="5"/>
      <c r="C50" s="6"/>
      <c r="D50" s="7"/>
      <c r="E50" s="7" t="str">
        <f>IF(OR(A50="",SUMIFS(C$4:C50,A$4:A50,A50)=0),"",SUMPRODUCT((A$4:A50=A50)*(C$4:C50)*(D$4:D50))/SUMIFS(C$4:C50,A$4:A50,A50))</f>
        <v/>
      </c>
      <c r="F50" s="6"/>
      <c r="G50" s="6" t="str">
        <f t="shared" si="1"/>
        <v/>
      </c>
    </row>
    <row r="51" spans="1:7" x14ac:dyDescent="0.4">
      <c r="A51" s="4"/>
      <c r="B51" s="5"/>
      <c r="C51" s="6"/>
      <c r="D51" s="7"/>
      <c r="E51" s="7" t="str">
        <f>IF(OR(A51="",SUMIFS(C$4:C51,A$4:A51,A51)=0),"",SUMPRODUCT((A$4:A51=A51)*(C$4:C51)*(D$4:D51))/SUMIFS(C$4:C51,A$4:A51,A51))</f>
        <v/>
      </c>
      <c r="F51" s="6"/>
      <c r="G51" s="6" t="str">
        <f t="shared" si="1"/>
        <v/>
      </c>
    </row>
    <row r="52" spans="1:7" x14ac:dyDescent="0.4">
      <c r="A52" s="4"/>
      <c r="B52" s="5"/>
      <c r="C52" s="6"/>
      <c r="D52" s="7"/>
      <c r="E52" s="7" t="str">
        <f>IF(OR(A52="",SUMIFS(C$4:C52,A$4:A52,A52)=0),"",SUMPRODUCT((A$4:A52=A52)*(C$4:C52)*(D$4:D52))/SUMIFS(C$4:C52,A$4:A52,A52))</f>
        <v/>
      </c>
      <c r="F52" s="6"/>
      <c r="G52" s="6" t="str">
        <f t="shared" si="1"/>
        <v/>
      </c>
    </row>
    <row r="53" spans="1:7" x14ac:dyDescent="0.4">
      <c r="A53" s="4"/>
      <c r="B53" s="5"/>
      <c r="C53" s="6"/>
      <c r="D53" s="7"/>
      <c r="E53" s="7" t="str">
        <f>IF(OR(A53="",SUMIFS(C$4:C53,A$4:A53,A53)=0),"",SUMPRODUCT((A$4:A53=A53)*(C$4:C53)*(D$4:D53))/SUMIFS(C$4:C53,A$4:A53,A53))</f>
        <v/>
      </c>
      <c r="F53" s="6"/>
      <c r="G53" s="6" t="str">
        <f t="shared" si="1"/>
        <v/>
      </c>
    </row>
    <row r="54" spans="1:7" x14ac:dyDescent="0.4">
      <c r="A54" s="4"/>
      <c r="B54" s="5"/>
      <c r="C54" s="6"/>
      <c r="D54" s="7"/>
      <c r="E54" s="7" t="str">
        <f>IF(OR(A54="",SUMIFS(C$4:C54,A$4:A54,A54)=0),"",SUMPRODUCT((A$4:A54=A54)*(C$4:C54)*(D$4:D54))/SUMIFS(C$4:C54,A$4:A54,A54))</f>
        <v/>
      </c>
      <c r="F54" s="6"/>
      <c r="G54" s="6" t="str">
        <f t="shared" si="1"/>
        <v/>
      </c>
    </row>
    <row r="55" spans="1:7" x14ac:dyDescent="0.4">
      <c r="A55" s="4"/>
      <c r="B55" s="5"/>
      <c r="C55" s="6"/>
      <c r="D55" s="7"/>
      <c r="E55" s="7" t="str">
        <f>IF(OR(A55="",SUMIFS(C$4:C55,A$4:A55,A55)=0),"",SUMPRODUCT((A$4:A55=A55)*(C$4:C55)*(D$4:D55))/SUMIFS(C$4:C55,A$4:A55,A55))</f>
        <v/>
      </c>
      <c r="F55" s="6"/>
      <c r="G55" s="6" t="str">
        <f t="shared" si="1"/>
        <v/>
      </c>
    </row>
    <row r="56" spans="1:7" x14ac:dyDescent="0.4">
      <c r="A56" s="4"/>
      <c r="B56" s="5"/>
      <c r="C56" s="6"/>
      <c r="D56" s="7"/>
      <c r="E56" s="7" t="str">
        <f>IF(OR(A56="",SUMIFS(C$4:C56,A$4:A56,A56)=0),"",SUMPRODUCT((A$4:A56=A56)*(C$4:C56)*(D$4:D56))/SUMIFS(C$4:C56,A$4:A56,A56))</f>
        <v/>
      </c>
      <c r="F56" s="6"/>
      <c r="G56" s="6" t="str">
        <f t="shared" si="1"/>
        <v/>
      </c>
    </row>
    <row r="57" spans="1:7" x14ac:dyDescent="0.4">
      <c r="A57" s="4"/>
      <c r="B57" s="5"/>
      <c r="C57" s="6"/>
      <c r="D57" s="7"/>
      <c r="E57" s="7" t="str">
        <f>IF(OR(A57="",SUMIFS(C$4:C57,A$4:A57,A57)=0),"",SUMPRODUCT((A$4:A57=A57)*(C$4:C57)*(D$4:D57))/SUMIFS(C$4:C57,A$4:A57,A57))</f>
        <v/>
      </c>
      <c r="F57" s="6"/>
      <c r="G57" s="6" t="str">
        <f t="shared" si="1"/>
        <v/>
      </c>
    </row>
    <row r="58" spans="1:7" x14ac:dyDescent="0.4">
      <c r="A58" s="4"/>
      <c r="B58" s="5"/>
      <c r="C58" s="6"/>
      <c r="D58" s="7"/>
      <c r="E58" s="7" t="str">
        <f>IF(OR(A58="",SUMIFS(C$4:C58,A$4:A58,A58)=0),"",SUMPRODUCT((A$4:A58=A58)*(C$4:C58)*(D$4:D58))/SUMIFS(C$4:C58,A$4:A58,A58))</f>
        <v/>
      </c>
      <c r="F58" s="6"/>
      <c r="G58" s="6" t="str">
        <f t="shared" si="1"/>
        <v/>
      </c>
    </row>
    <row r="59" spans="1:7" x14ac:dyDescent="0.4">
      <c r="A59" s="4"/>
      <c r="B59" s="5"/>
      <c r="C59" s="6"/>
      <c r="D59" s="7"/>
      <c r="E59" s="7" t="str">
        <f>IF(OR(A59="",SUMIFS(C$4:C59,A$4:A59,A59)=0),"",SUMPRODUCT((A$4:A59=A59)*(C$4:C59)*(D$4:D59))/SUMIFS(C$4:C59,A$4:A59,A59))</f>
        <v/>
      </c>
      <c r="F59" s="6"/>
      <c r="G59" s="6" t="str">
        <f t="shared" si="1"/>
        <v/>
      </c>
    </row>
    <row r="60" spans="1:7" x14ac:dyDescent="0.4">
      <c r="A60" s="4"/>
      <c r="B60" s="5"/>
      <c r="C60" s="6"/>
      <c r="D60" s="7"/>
      <c r="E60" s="7" t="str">
        <f>IF(OR(A60="",SUMIFS(C$4:C60,A$4:A60,A60)=0),"",SUMPRODUCT((A$4:A60=A60)*(C$4:C60)*(D$4:D60))/SUMIFS(C$4:C60,A$4:A60,A60))</f>
        <v/>
      </c>
      <c r="F60" s="6"/>
      <c r="G60" s="6" t="str">
        <f t="shared" si="1"/>
        <v/>
      </c>
    </row>
    <row r="61" spans="1:7" x14ac:dyDescent="0.4">
      <c r="A61" s="8" t="s">
        <v>33</v>
      </c>
      <c r="B61" s="8"/>
      <c r="C61" s="9">
        <f>SUM(C4:C60)</f>
        <v>44669</v>
      </c>
      <c r="D61" s="10">
        <f>IF(SUM(C4:C60)=0,0,SUMPRODUCT(C4:C60,D4:D60)/SUM(C4:C60))</f>
        <v>49.480649443685763</v>
      </c>
      <c r="E61" s="10">
        <f>AVERAGEIF(E4:E60,"&lt;&gt;0")</f>
        <v>32.220650647885748</v>
      </c>
      <c r="F61" s="9">
        <f>SUM(F4:F60)</f>
        <v>8578</v>
      </c>
      <c r="G61" s="9">
        <f>SUM(G4:G60)</f>
        <v>36091</v>
      </c>
    </row>
  </sheetData>
  <phoneticPr fontId="5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모델명을 선택해주세요." promptTitle="모델 선택" prompt="드롭다운에서 모델을 선택하세요.">
          <x14:formula1>
            <xm:f>모델_마스터!$B$12:$B$13</xm:f>
          </x14:formula1>
          <xm:sqref>A4:A60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workbookViewId="0">
      <selection activeCell="A24" sqref="A24"/>
    </sheetView>
  </sheetViews>
  <sheetFormatPr defaultRowHeight="17.399999999999999" x14ac:dyDescent="0.4"/>
  <cols>
    <col min="1" max="1" width="33" customWidth="1"/>
    <col min="2" max="2" width="23" customWidth="1"/>
    <col min="3" max="4" width="18" customWidth="1"/>
    <col min="5" max="5" width="21" customWidth="1"/>
    <col min="6" max="7" width="18" customWidth="1"/>
  </cols>
  <sheetData>
    <row r="1" spans="1:7" ht="25.05" customHeight="1" x14ac:dyDescent="0.4">
      <c r="A1" s="2" t="s">
        <v>37</v>
      </c>
    </row>
    <row r="3" spans="1:7" ht="22.05" customHeight="1" x14ac:dyDescent="0.4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</row>
    <row r="4" spans="1:7" x14ac:dyDescent="0.4">
      <c r="A4" s="4" t="s">
        <v>19</v>
      </c>
      <c r="B4" s="5">
        <v>45992</v>
      </c>
      <c r="C4" s="6">
        <v>936</v>
      </c>
      <c r="D4" s="7">
        <v>16.899999999999999</v>
      </c>
      <c r="E4" s="7">
        <f>IF(OR(A4="",SUMIFS(C$4:C4,A$4:A4,A4)=0),"",SUMPRODUCT((A$4:A4=A4)*(C$4:C4)*(D$4:D4))/SUMIFS(C$4:C4,A$4:A4,A4))</f>
        <v>16.899999999999999</v>
      </c>
      <c r="F4" s="6">
        <v>762</v>
      </c>
      <c r="G4" s="6">
        <f t="shared" ref="G4:G35" si="0">IF(C4="","",C4-IF(ISNUMBER(F4),F4,0))</f>
        <v>174</v>
      </c>
    </row>
    <row r="5" spans="1:7" x14ac:dyDescent="0.4">
      <c r="A5" s="4" t="s">
        <v>19</v>
      </c>
      <c r="B5" s="5">
        <v>46023</v>
      </c>
      <c r="C5" s="6">
        <v>174</v>
      </c>
      <c r="D5" s="7">
        <v>16.899999999999999</v>
      </c>
      <c r="E5" s="7">
        <f>IF(OR(A5="",SUMIFS(C$4:C5,A$4:A5,A5)=0),"",SUMPRODUCT((A$4:A5=A5)*(C$4:C5)*(D$4:D5))/SUMIFS(C$4:C5,A$4:A5,A5))</f>
        <v>16.899999999999995</v>
      </c>
      <c r="F5" s="6">
        <v>174</v>
      </c>
      <c r="G5" s="6">
        <f t="shared" si="0"/>
        <v>0</v>
      </c>
    </row>
    <row r="6" spans="1:7" x14ac:dyDescent="0.4">
      <c r="A6" s="4" t="s">
        <v>19</v>
      </c>
      <c r="B6" s="5">
        <v>46054</v>
      </c>
      <c r="C6" s="6">
        <v>3100</v>
      </c>
      <c r="D6" s="7">
        <v>33.770000000000003</v>
      </c>
      <c r="E6" s="7">
        <f>IF(OR(A6="",SUMIFS(C$4:C6,A$4:A6,A6)=0),"",SUMPRODUCT((A$4:A6=A6)*(C$4:C6)*(D$4:D6))/SUMIFS(C$4:C6,A$4:A6,A6))</f>
        <v>29.322090261282664</v>
      </c>
      <c r="F6" s="6">
        <v>410</v>
      </c>
      <c r="G6" s="6">
        <f t="shared" si="0"/>
        <v>2690</v>
      </c>
    </row>
    <row r="7" spans="1:7" x14ac:dyDescent="0.4">
      <c r="A7" s="4" t="s">
        <v>19</v>
      </c>
      <c r="B7" s="5">
        <v>46082</v>
      </c>
      <c r="C7" s="6">
        <v>4179</v>
      </c>
      <c r="D7" s="7">
        <v>35.43</v>
      </c>
      <c r="E7" s="7">
        <f>IF(OR(A7="",SUMIFS(C$4:C7,A$4:A7,A7)=0),"",SUMPRODUCT((A$4:A7=A7)*(C$4:C7)*(D$4:D7))/SUMIFS(C$4:C7,A$4:A7,A7))</f>
        <v>32.364759804505901</v>
      </c>
      <c r="F7" s="6">
        <v>810</v>
      </c>
      <c r="G7" s="6">
        <f t="shared" si="0"/>
        <v>3369</v>
      </c>
    </row>
    <row r="8" spans="1:7" x14ac:dyDescent="0.4">
      <c r="A8" s="4" t="s">
        <v>19</v>
      </c>
      <c r="B8" s="5">
        <v>46113</v>
      </c>
      <c r="C8" s="6">
        <v>2169</v>
      </c>
      <c r="D8" s="7">
        <v>36.409999999999997</v>
      </c>
      <c r="E8" s="7">
        <f>IF(OR(A8="",SUMIFS(C$4:C8,A$4:A8,A8)=0),"",SUMPRODUCT((A$4:A8=A8)*(C$4:C8)*(D$4:D8))/SUMIFS(C$4:C8,A$4:A8,A8))</f>
        <v>33.195800340973669</v>
      </c>
      <c r="F8" s="6">
        <v>495</v>
      </c>
      <c r="G8" s="6">
        <f t="shared" si="0"/>
        <v>1674</v>
      </c>
    </row>
    <row r="9" spans="1:7" x14ac:dyDescent="0.4">
      <c r="A9" s="4" t="s">
        <v>19</v>
      </c>
      <c r="B9" s="5">
        <v>46143</v>
      </c>
      <c r="C9" s="6">
        <v>3674</v>
      </c>
      <c r="D9" s="7">
        <v>46.29</v>
      </c>
      <c r="E9" s="7">
        <f>IF(OR(A9="",SUMIFS(C$4:C9,A$4:A9,A9)=0),"",SUMPRODUCT((A$4:A9=A9)*(C$4:C9)*(D$4:D9))/SUMIFS(C$4:C9,A$4:A9,A9))</f>
        <v>36.576076447442382</v>
      </c>
      <c r="F9" s="6">
        <v>540</v>
      </c>
      <c r="G9" s="6">
        <f t="shared" si="0"/>
        <v>3134</v>
      </c>
    </row>
    <row r="10" spans="1:7" x14ac:dyDescent="0.4">
      <c r="A10" s="4" t="s">
        <v>19</v>
      </c>
      <c r="B10" s="5">
        <v>46174</v>
      </c>
      <c r="C10" s="6">
        <v>3134</v>
      </c>
      <c r="D10" s="7">
        <v>46.29</v>
      </c>
      <c r="E10" s="7">
        <f>IF(OR(A10="",SUMIFS(C$4:C10,A$4:A10,A10)=0),"",SUMPRODUCT((A$4:A10=A10)*(C$4:C10)*(D$4:D10))/SUMIFS(C$4:C10,A$4:A10,A10))</f>
        <v>38.329124726477019</v>
      </c>
      <c r="F10" s="6">
        <v>130</v>
      </c>
      <c r="G10" s="6">
        <f t="shared" si="0"/>
        <v>3004</v>
      </c>
    </row>
    <row r="11" spans="1:7" x14ac:dyDescent="0.4">
      <c r="A11" s="4" t="s">
        <v>19</v>
      </c>
      <c r="B11" s="5">
        <v>46204</v>
      </c>
      <c r="C11" s="6">
        <v>3004</v>
      </c>
      <c r="D11" s="7">
        <v>46.29</v>
      </c>
      <c r="E11" s="7">
        <f>IF(OR(A11="",SUMIFS(C$4:C11,A$4:A11,A11)=0),"",SUMPRODUCT((A$4:A11=A11)*(C$4:C11)*(D$4:D11))/SUMIFS(C$4:C11,A$4:A11,A11))</f>
        <v>39.50312911143839</v>
      </c>
      <c r="F11" s="6">
        <v>90</v>
      </c>
      <c r="G11" s="6">
        <f t="shared" si="0"/>
        <v>2914</v>
      </c>
    </row>
    <row r="12" spans="1:7" x14ac:dyDescent="0.4">
      <c r="A12" s="4" t="s">
        <v>19</v>
      </c>
      <c r="B12" s="5">
        <v>46235</v>
      </c>
      <c r="C12" s="6">
        <v>2914</v>
      </c>
      <c r="D12" s="7">
        <v>46.29</v>
      </c>
      <c r="E12" s="7">
        <f>IF(OR(A12="",SUMIFS(C$4:C12,A$4:A12,A12)=0),"",SUMPRODUCT((A$4:A12=A12)*(C$4:C12)*(D$4:D12))/SUMIFS(C$4:C12,A$4:A12,A12))</f>
        <v>40.352508160109949</v>
      </c>
      <c r="F12" s="6">
        <v>110</v>
      </c>
      <c r="G12" s="6">
        <f t="shared" si="0"/>
        <v>2804</v>
      </c>
    </row>
    <row r="13" spans="1:7" x14ac:dyDescent="0.4">
      <c r="A13" s="4" t="s">
        <v>19</v>
      </c>
      <c r="B13" s="5">
        <v>46266</v>
      </c>
      <c r="C13" s="6">
        <v>2804</v>
      </c>
      <c r="D13" s="7">
        <v>46.29</v>
      </c>
      <c r="E13" s="7">
        <f>IF(OR(A13="",SUMIFS(C$4:C13,A$4:A13,A13)=0),"",SUMPRODUCT((A$4:A13=A13)*(C$4:C13)*(D$4:D13))/SUMIFS(C$4:C13,A$4:A13,A13))</f>
        <v>40.990683839313093</v>
      </c>
      <c r="F13" s="6"/>
      <c r="G13" s="6">
        <f t="shared" si="0"/>
        <v>2804</v>
      </c>
    </row>
    <row r="14" spans="1:7" x14ac:dyDescent="0.4">
      <c r="A14" s="4" t="s">
        <v>19</v>
      </c>
      <c r="B14" s="5">
        <v>46023</v>
      </c>
      <c r="C14" s="6">
        <v>1000</v>
      </c>
      <c r="D14" s="7">
        <v>34</v>
      </c>
      <c r="E14" s="7">
        <f>IF(OR(A14="",SUMIFS(C$4:C14,A$4:A14,A14)=0),"",SUMPRODUCT((A$4:A14=A14)*(C$4:C14)*(D$4:D14))/SUMIFS(C$4:C14,A$4:A14,A14))</f>
        <v>40.732610750147664</v>
      </c>
      <c r="F14" s="6">
        <v>800</v>
      </c>
      <c r="G14" s="6">
        <f t="shared" si="0"/>
        <v>200</v>
      </c>
    </row>
    <row r="15" spans="1:7" x14ac:dyDescent="0.4">
      <c r="A15" s="4" t="s">
        <v>19</v>
      </c>
      <c r="B15" s="5">
        <v>46054</v>
      </c>
      <c r="C15" s="6">
        <v>2000</v>
      </c>
      <c r="D15" s="7">
        <v>38</v>
      </c>
      <c r="E15" s="7">
        <f>IF(OR(A15="",SUMIFS(C$4:C15,A$4:A15,A15)=0),"",SUMPRODUCT((A$4:A15=A15)*(C$4:C15)*(D$4:D15))/SUMIFS(C$4:C15,A$4:A15,A15))</f>
        <v>40.544724972497249</v>
      </c>
      <c r="F15" s="6">
        <v>511</v>
      </c>
      <c r="G15" s="6">
        <f t="shared" si="0"/>
        <v>1489</v>
      </c>
    </row>
    <row r="16" spans="1:7" x14ac:dyDescent="0.4">
      <c r="A16" s="4" t="s">
        <v>19</v>
      </c>
      <c r="B16" s="5">
        <v>46082</v>
      </c>
      <c r="C16" s="6">
        <v>3000</v>
      </c>
      <c r="D16" s="7">
        <v>45.5</v>
      </c>
      <c r="E16" s="7">
        <f>IF(OR(A16="",SUMIFS(C$4:C16,A$4:A16,A16)=0),"",SUMPRODUCT((A$4:A16=A16)*(C$4:C16)*(D$4:D16))/SUMIFS(C$4:C16,A$4:A16,A16))</f>
        <v>41.008007978060334</v>
      </c>
      <c r="F16" s="6"/>
      <c r="G16" s="6">
        <f t="shared" si="0"/>
        <v>3000</v>
      </c>
    </row>
    <row r="17" spans="1:7" x14ac:dyDescent="0.4">
      <c r="A17" s="4" t="s">
        <v>19</v>
      </c>
      <c r="B17" s="5">
        <v>46113</v>
      </c>
      <c r="C17" s="6">
        <v>2000</v>
      </c>
      <c r="D17" s="7">
        <v>57</v>
      </c>
      <c r="E17" s="7">
        <f>IF(OR(A17="",SUMIFS(C$4:C17,A$4:A17,A17)=0),"",SUMPRODUCT((A$4:A17=A17)*(C$4:C17)*(D$4:D17))/SUMIFS(C$4:C17,A$4:A17,A17))</f>
        <v>41.94628490964562</v>
      </c>
      <c r="F17" s="6"/>
      <c r="G17" s="6">
        <f t="shared" si="0"/>
        <v>2000</v>
      </c>
    </row>
    <row r="18" spans="1:7" x14ac:dyDescent="0.4">
      <c r="A18" s="4" t="s">
        <v>19</v>
      </c>
      <c r="B18" s="5">
        <v>46023</v>
      </c>
      <c r="C18" s="6">
        <v>2000</v>
      </c>
      <c r="D18" s="7">
        <v>33</v>
      </c>
      <c r="E18" s="7">
        <f>IF(OR(A18="",SUMIFS(C$4:C18,A$4:A18,A18)=0),"",SUMPRODUCT((A$4:A18=A18)*(C$4:C18)*(D$4:D18))/SUMIFS(C$4:C18,A$4:A18,A18))</f>
        <v>41.450481046331191</v>
      </c>
      <c r="F18" s="6"/>
      <c r="G18" s="6">
        <f t="shared" si="0"/>
        <v>2000</v>
      </c>
    </row>
    <row r="19" spans="1:7" x14ac:dyDescent="0.4">
      <c r="A19" s="4" t="s">
        <v>19</v>
      </c>
      <c r="B19" s="5">
        <v>46082</v>
      </c>
      <c r="C19" s="6">
        <v>-3000</v>
      </c>
      <c r="D19" s="7">
        <v>45.5</v>
      </c>
      <c r="E19" s="7">
        <f>IF(OR(A19="",SUMIFS(C$4:C19,A$4:A19,A19)=0),"",SUMPRODUCT((A$4:A19=A19)*(C$4:C19)*(D$4:D19))/SUMIFS(C$4:C19,A$4:A19,A19))</f>
        <v>41.083322050290136</v>
      </c>
      <c r="F19" s="6"/>
      <c r="G19" s="6">
        <f t="shared" si="0"/>
        <v>-3000</v>
      </c>
    </row>
    <row r="20" spans="1:7" x14ac:dyDescent="0.4">
      <c r="A20" s="4" t="s">
        <v>19</v>
      </c>
      <c r="B20" s="5">
        <v>46023</v>
      </c>
      <c r="C20" s="6">
        <v>900</v>
      </c>
      <c r="D20" s="7">
        <v>38.5</v>
      </c>
      <c r="E20" s="7">
        <f>IF(OR(A20="",SUMIFS(C$4:C20,A$4:A20,A20)=0),"",SUMPRODUCT((A$4:A20=A20)*(C$4:C20)*(D$4:D20))/SUMIFS(C$4:C20,A$4:A20,A20))</f>
        <v>41.014915852653878</v>
      </c>
      <c r="F20" s="6"/>
      <c r="G20" s="6">
        <f t="shared" si="0"/>
        <v>900</v>
      </c>
    </row>
    <row r="21" spans="1:7" x14ac:dyDescent="0.4">
      <c r="A21" s="4" t="s">
        <v>19</v>
      </c>
      <c r="B21" s="5">
        <v>46082</v>
      </c>
      <c r="C21" s="6">
        <v>-1200</v>
      </c>
      <c r="D21" s="7">
        <v>33</v>
      </c>
      <c r="E21" s="7">
        <f>IF(OR(A21="",SUMIFS(C$4:C21,A$4:A21,A21)=0),"",SUMPRODUCT((A$4:A21=A21)*(C$4:C21)*(D$4:D21))/SUMIFS(C$4:C21,A$4:A21,A21))</f>
        <v>41.308251799438821</v>
      </c>
      <c r="F21" s="6"/>
      <c r="G21" s="6">
        <f t="shared" si="0"/>
        <v>-1200</v>
      </c>
    </row>
    <row r="22" spans="1:7" x14ac:dyDescent="0.4">
      <c r="A22" s="4" t="s">
        <v>20</v>
      </c>
      <c r="B22" s="5">
        <v>45992</v>
      </c>
      <c r="C22" s="6">
        <v>569</v>
      </c>
      <c r="D22" s="7">
        <v>16.899999999999999</v>
      </c>
      <c r="E22" s="7">
        <f>IF(OR(A22="",SUMIFS(C$4:C22,A$4:A22,A22)=0),"",SUMPRODUCT((A$4:A22=A22)*(C$4:C22)*(D$4:D22))/SUMIFS(C$4:C22,A$4:A22,A22))</f>
        <v>16.899999999999999</v>
      </c>
      <c r="F22" s="6">
        <v>31</v>
      </c>
      <c r="G22" s="6">
        <f t="shared" si="0"/>
        <v>538</v>
      </c>
    </row>
    <row r="23" spans="1:7" x14ac:dyDescent="0.4">
      <c r="A23" s="4" t="s">
        <v>20</v>
      </c>
      <c r="B23" s="5">
        <v>46023</v>
      </c>
      <c r="C23" s="6">
        <v>538</v>
      </c>
      <c r="D23" s="7">
        <v>16.899999999999999</v>
      </c>
      <c r="E23" s="7">
        <f>IF(OR(A23="",SUMIFS(C$4:C23,A$4:A23,A23)=0),"",SUMPRODUCT((A$4:A23=A23)*(C$4:C23)*(D$4:D23))/SUMIFS(C$4:C23,A$4:A23,A23))</f>
        <v>16.899999999999995</v>
      </c>
      <c r="F23" s="6">
        <v>42</v>
      </c>
      <c r="G23" s="6">
        <f t="shared" si="0"/>
        <v>496</v>
      </c>
    </row>
    <row r="24" spans="1:7" x14ac:dyDescent="0.4">
      <c r="A24" s="4" t="s">
        <v>20</v>
      </c>
      <c r="B24" s="5">
        <v>46054</v>
      </c>
      <c r="C24" s="6">
        <v>496</v>
      </c>
      <c r="D24" s="7">
        <v>16.899999999999999</v>
      </c>
      <c r="E24" s="7">
        <f>IF(OR(A24="",SUMIFS(C$4:C24,A$4:A24,A24)=0),"",SUMPRODUCT((A$4:A24=A24)*(C$4:C24)*(D$4:D24))/SUMIFS(C$4:C24,A$4:A24,A24))</f>
        <v>16.899999999999999</v>
      </c>
      <c r="F24" s="6">
        <v>20</v>
      </c>
      <c r="G24" s="6">
        <f t="shared" si="0"/>
        <v>476</v>
      </c>
    </row>
    <row r="25" spans="1:7" x14ac:dyDescent="0.4">
      <c r="A25" s="4" t="s">
        <v>20</v>
      </c>
      <c r="B25" s="5">
        <v>46082</v>
      </c>
      <c r="C25" s="6">
        <v>451</v>
      </c>
      <c r="D25" s="7">
        <v>16.899999999999999</v>
      </c>
      <c r="E25" s="7">
        <f>IF(OR(A25="",SUMIFS(C$4:C25,A$4:A25,A25)=0),"",SUMPRODUCT((A$4:A25=A25)*(C$4:C25)*(D$4:D25))/SUMIFS(C$4:C25,A$4:A25,A25))</f>
        <v>16.899999999999999</v>
      </c>
      <c r="F25" s="6">
        <v>212</v>
      </c>
      <c r="G25" s="6">
        <f t="shared" si="0"/>
        <v>239</v>
      </c>
    </row>
    <row r="26" spans="1:7" x14ac:dyDescent="0.4">
      <c r="A26" s="4" t="s">
        <v>20</v>
      </c>
      <c r="B26" s="5">
        <v>46113</v>
      </c>
      <c r="C26" s="6">
        <v>789</v>
      </c>
      <c r="D26" s="7">
        <v>29.59</v>
      </c>
      <c r="E26" s="7">
        <f>IF(OR(A26="",SUMIFS(C$4:C26,A$4:A26,A26)=0),"",SUMPRODUCT((A$4:A26=A26)*(C$4:C26)*(D$4:D26))/SUMIFS(C$4:C26,A$4:A26,A26))</f>
        <v>20.421776292648612</v>
      </c>
      <c r="F26" s="6">
        <v>474</v>
      </c>
      <c r="G26" s="6">
        <f t="shared" si="0"/>
        <v>315</v>
      </c>
    </row>
    <row r="27" spans="1:7" x14ac:dyDescent="0.4">
      <c r="A27" s="4" t="s">
        <v>20</v>
      </c>
      <c r="B27" s="5">
        <v>46143</v>
      </c>
      <c r="C27" s="6">
        <v>324</v>
      </c>
      <c r="D27" s="7">
        <v>29.52</v>
      </c>
      <c r="E27" s="7">
        <f>IF(OR(A27="",SUMIFS(C$4:C27,A$4:A27,A27)=0),"",SUMPRODUCT((A$4:A27=A27)*(C$4:C27)*(D$4:D27))/SUMIFS(C$4:C27,A$4:A27,A27))</f>
        <v>21.352570255762551</v>
      </c>
      <c r="F27" s="6">
        <v>38</v>
      </c>
      <c r="G27" s="6">
        <f t="shared" si="0"/>
        <v>286</v>
      </c>
    </row>
    <row r="28" spans="1:7" x14ac:dyDescent="0.4">
      <c r="A28" s="4" t="s">
        <v>20</v>
      </c>
      <c r="B28" s="5">
        <v>46174</v>
      </c>
      <c r="C28" s="6">
        <v>286</v>
      </c>
      <c r="D28" s="7">
        <v>29.52</v>
      </c>
      <c r="E28" s="7">
        <f>IF(OR(A28="",SUMIFS(C$4:C28,A$4:A28,A28)=0),"",SUMPRODUCT((A$4:A28=A28)*(C$4:C28)*(D$4:D28))/SUMIFS(C$4:C28,A$4:A28,A28))</f>
        <v>22.029050101361136</v>
      </c>
      <c r="F28" s="6">
        <v>37</v>
      </c>
      <c r="G28" s="6">
        <f t="shared" si="0"/>
        <v>249</v>
      </c>
    </row>
    <row r="29" spans="1:7" x14ac:dyDescent="0.4">
      <c r="A29" s="4" t="s">
        <v>20</v>
      </c>
      <c r="B29" s="5">
        <v>46204</v>
      </c>
      <c r="C29" s="6">
        <v>749</v>
      </c>
      <c r="D29" s="7">
        <v>36.630000000000003</v>
      </c>
      <c r="E29" s="7">
        <f>IF(OR(A29="",SUMIFS(C$4:C29,A$4:A29,A29)=0),"",SUMPRODUCT((A$4:A29=A29)*(C$4:C29)*(D$4:D29))/SUMIFS(C$4:C29,A$4:A29,A29))</f>
        <v>24.631646834840552</v>
      </c>
      <c r="F29" s="6">
        <v>200</v>
      </c>
      <c r="G29" s="6">
        <f t="shared" si="0"/>
        <v>549</v>
      </c>
    </row>
    <row r="30" spans="1:7" x14ac:dyDescent="0.4">
      <c r="A30" s="4" t="s">
        <v>20</v>
      </c>
      <c r="B30" s="5">
        <v>46235</v>
      </c>
      <c r="C30" s="6">
        <v>1049</v>
      </c>
      <c r="D30" s="7">
        <v>38.86</v>
      </c>
      <c r="E30" s="7">
        <f>IF(OR(A30="",SUMIFS(C$4:C30,A$4:A30,A30)=0),"",SUMPRODUCT((A$4:A30=A30)*(C$4:C30)*(D$4:D30))/SUMIFS(C$4:C30,A$4:A30,A30))</f>
        <v>27.474065892211009</v>
      </c>
      <c r="F30" s="6">
        <v>140</v>
      </c>
      <c r="G30" s="6">
        <f t="shared" si="0"/>
        <v>909</v>
      </c>
    </row>
    <row r="31" spans="1:7" x14ac:dyDescent="0.4">
      <c r="A31" s="4" t="s">
        <v>20</v>
      </c>
      <c r="B31" s="5">
        <v>46266</v>
      </c>
      <c r="C31" s="6">
        <v>909</v>
      </c>
      <c r="D31" s="7">
        <v>38.86</v>
      </c>
      <c r="E31" s="7">
        <f>IF(OR(A31="",SUMIFS(C$4:C31,A$4:A31,A31)=0),"",SUMPRODUCT((A$4:A31=A31)*(C$4:C31)*(D$4:D31))/SUMIFS(C$4:C31,A$4:A31,A31))</f>
        <v>29.154230519480517</v>
      </c>
      <c r="F31" s="6"/>
      <c r="G31" s="6">
        <f t="shared" si="0"/>
        <v>909</v>
      </c>
    </row>
    <row r="32" spans="1:7" x14ac:dyDescent="0.4">
      <c r="A32" s="4" t="s">
        <v>20</v>
      </c>
      <c r="B32" s="5">
        <v>46082</v>
      </c>
      <c r="C32" s="6">
        <v>550</v>
      </c>
      <c r="D32" s="7">
        <v>40</v>
      </c>
      <c r="E32" s="7">
        <f>IF(OR(A32="",SUMIFS(C$4:C32,A$4:A32,A32)=0),"",SUMPRODUCT((A$4:A32=A32)*(C$4:C32)*(D$4:D32))/SUMIFS(C$4:C32,A$4:A32,A32))</f>
        <v>30.043228017883756</v>
      </c>
      <c r="F32" s="6"/>
      <c r="G32" s="6">
        <f t="shared" si="0"/>
        <v>550</v>
      </c>
    </row>
    <row r="33" spans="1:7" x14ac:dyDescent="0.4">
      <c r="A33" s="4" t="s">
        <v>20</v>
      </c>
      <c r="B33" s="5">
        <v>46113</v>
      </c>
      <c r="C33" s="6">
        <v>9</v>
      </c>
      <c r="D33" s="7">
        <v>23</v>
      </c>
      <c r="E33" s="7">
        <f>IF(OR(A33="",SUMIFS(C$4:C33,A$4:A33,A33)=0),"",SUMPRODUCT((A$4:A33=A33)*(C$4:C33)*(D$4:D33))/SUMIFS(C$4:C33,A$4:A33,A33))</f>
        <v>30.033793719303468</v>
      </c>
      <c r="F33" s="6"/>
      <c r="G33" s="6">
        <f t="shared" si="0"/>
        <v>9</v>
      </c>
    </row>
    <row r="34" spans="1:7" x14ac:dyDescent="0.4">
      <c r="A34" s="4" t="s">
        <v>20</v>
      </c>
      <c r="B34" s="5">
        <v>46174</v>
      </c>
      <c r="C34" s="6">
        <v>500</v>
      </c>
      <c r="D34" s="7">
        <v>40.700000000000003</v>
      </c>
      <c r="E34" s="7">
        <f>IF(OR(A34="",SUMIFS(C$4:C34,A$4:A34,A34)=0),"",SUMPRODUCT((A$4:A34=A34)*(C$4:C34)*(D$4:D34))/SUMIFS(C$4:C34,A$4:A34,A34))</f>
        <v>30.772552985178002</v>
      </c>
      <c r="F34" s="6"/>
      <c r="G34" s="6">
        <f t="shared" si="0"/>
        <v>500</v>
      </c>
    </row>
    <row r="35" spans="1:7" x14ac:dyDescent="0.4">
      <c r="A35" s="4" t="s">
        <v>20</v>
      </c>
      <c r="B35" s="5">
        <v>46204</v>
      </c>
      <c r="C35" s="6">
        <v>500</v>
      </c>
      <c r="D35" s="7">
        <v>42.2</v>
      </c>
      <c r="E35" s="7">
        <f>IF(OR(A35="",SUMIFS(C$4:C35,A$4:A35,A35)=0),"",SUMPRODUCT((A$4:A35=A35)*(C$4:C35)*(D$4:D35))/SUMIFS(C$4:C35,A$4:A35,A35))</f>
        <v>31.512768493328149</v>
      </c>
      <c r="F35" s="6"/>
      <c r="G35" s="6">
        <f t="shared" si="0"/>
        <v>500</v>
      </c>
    </row>
    <row r="36" spans="1:7" x14ac:dyDescent="0.4">
      <c r="A36" s="4" t="s">
        <v>21</v>
      </c>
      <c r="B36" s="5">
        <v>45992</v>
      </c>
      <c r="C36" s="6">
        <v>70</v>
      </c>
      <c r="D36" s="7">
        <v>24.5</v>
      </c>
      <c r="E36" s="7">
        <f>IF(OR(A36="",SUMIFS(C$4:C36,A$4:A36,A36)=0),"",SUMPRODUCT((A$4:A36=A36)*(C$4:C36)*(D$4:D36))/SUMIFS(C$4:C36,A$4:A36,A36))</f>
        <v>24.5</v>
      </c>
      <c r="F36" s="6"/>
      <c r="G36" s="6">
        <f t="shared" ref="G36:G67" si="1">IF(C36="","",C36-IF(ISNUMBER(F36),F36,0))</f>
        <v>70</v>
      </c>
    </row>
    <row r="37" spans="1:7" x14ac:dyDescent="0.4">
      <c r="A37" s="4" t="s">
        <v>21</v>
      </c>
      <c r="B37" s="5">
        <v>46023</v>
      </c>
      <c r="C37" s="6">
        <v>70</v>
      </c>
      <c r="D37" s="7">
        <v>24.5</v>
      </c>
      <c r="E37" s="7">
        <f>IF(OR(A37="",SUMIFS(C$4:C37,A$4:A37,A37)=0),"",SUMPRODUCT((A$4:A37=A37)*(C$4:C37)*(D$4:D37))/SUMIFS(C$4:C37,A$4:A37,A37))</f>
        <v>24.5</v>
      </c>
      <c r="F37" s="6">
        <v>28</v>
      </c>
      <c r="G37" s="6">
        <f t="shared" si="1"/>
        <v>42</v>
      </c>
    </row>
    <row r="38" spans="1:7" x14ac:dyDescent="0.4">
      <c r="A38" s="4" t="s">
        <v>21</v>
      </c>
      <c r="B38" s="5">
        <v>46054</v>
      </c>
      <c r="C38" s="6">
        <v>42</v>
      </c>
      <c r="D38" s="7">
        <v>24.5</v>
      </c>
      <c r="E38" s="7">
        <f>IF(OR(A38="",SUMIFS(C$4:C38,A$4:A38,A38)=0),"",SUMPRODUCT((A$4:A38=A38)*(C$4:C38)*(D$4:D38))/SUMIFS(C$4:C38,A$4:A38,A38))</f>
        <v>24.5</v>
      </c>
      <c r="F38" s="6"/>
      <c r="G38" s="6">
        <f t="shared" si="1"/>
        <v>42</v>
      </c>
    </row>
    <row r="39" spans="1:7" x14ac:dyDescent="0.4">
      <c r="A39" s="4" t="s">
        <v>21</v>
      </c>
      <c r="B39" s="5">
        <v>46082</v>
      </c>
      <c r="C39" s="6">
        <v>42</v>
      </c>
      <c r="D39" s="7">
        <v>24.5</v>
      </c>
      <c r="E39" s="7">
        <f>IF(OR(A39="",SUMIFS(C$4:C39,A$4:A39,A39)=0),"",SUMPRODUCT((A$4:A39=A39)*(C$4:C39)*(D$4:D39))/SUMIFS(C$4:C39,A$4:A39,A39))</f>
        <v>24.5</v>
      </c>
      <c r="F39" s="6"/>
      <c r="G39" s="6">
        <f t="shared" si="1"/>
        <v>42</v>
      </c>
    </row>
    <row r="40" spans="1:7" x14ac:dyDescent="0.4">
      <c r="A40" s="4" t="s">
        <v>21</v>
      </c>
      <c r="B40" s="5">
        <v>46113</v>
      </c>
      <c r="C40" s="6">
        <v>42</v>
      </c>
      <c r="D40" s="7">
        <v>24.5</v>
      </c>
      <c r="E40" s="7">
        <f>IF(OR(A40="",SUMIFS(C$4:C40,A$4:A40,A40)=0),"",SUMPRODUCT((A$4:A40=A40)*(C$4:C40)*(D$4:D40))/SUMIFS(C$4:C40,A$4:A40,A40))</f>
        <v>24.5</v>
      </c>
      <c r="F40" s="6"/>
      <c r="G40" s="6">
        <f t="shared" si="1"/>
        <v>42</v>
      </c>
    </row>
    <row r="41" spans="1:7" x14ac:dyDescent="0.4">
      <c r="A41" s="4" t="s">
        <v>21</v>
      </c>
      <c r="B41" s="5">
        <v>46143</v>
      </c>
      <c r="C41" s="6">
        <v>42</v>
      </c>
      <c r="D41" s="7">
        <v>24.5</v>
      </c>
      <c r="E41" s="7">
        <f>IF(OR(A41="",SUMIFS(C$4:C41,A$4:A41,A41)=0),"",SUMPRODUCT((A$4:A41=A41)*(C$4:C41)*(D$4:D41))/SUMIFS(C$4:C41,A$4:A41,A41))</f>
        <v>24.5</v>
      </c>
      <c r="F41" s="6"/>
      <c r="G41" s="6">
        <f t="shared" si="1"/>
        <v>42</v>
      </c>
    </row>
    <row r="42" spans="1:7" x14ac:dyDescent="0.4">
      <c r="A42" s="4" t="s">
        <v>21</v>
      </c>
      <c r="B42" s="5">
        <v>46174</v>
      </c>
      <c r="C42" s="6">
        <v>42</v>
      </c>
      <c r="D42" s="7">
        <v>24.5</v>
      </c>
      <c r="E42" s="7">
        <f>IF(OR(A42="",SUMIFS(C$4:C42,A$4:A42,A42)=0),"",SUMPRODUCT((A$4:A42=A42)*(C$4:C42)*(D$4:D42))/SUMIFS(C$4:C42,A$4:A42,A42))</f>
        <v>24.5</v>
      </c>
      <c r="F42" s="6">
        <v>30</v>
      </c>
      <c r="G42" s="6">
        <f t="shared" si="1"/>
        <v>12</v>
      </c>
    </row>
    <row r="43" spans="1:7" x14ac:dyDescent="0.4">
      <c r="A43" s="4" t="s">
        <v>21</v>
      </c>
      <c r="B43" s="5">
        <v>46204</v>
      </c>
      <c r="C43" s="6">
        <v>12</v>
      </c>
      <c r="D43" s="7">
        <v>24.5</v>
      </c>
      <c r="E43" s="7">
        <f>IF(OR(A43="",SUMIFS(C$4:C43,A$4:A43,A43)=0),"",SUMPRODUCT((A$4:A43=A43)*(C$4:C43)*(D$4:D43))/SUMIFS(C$4:C43,A$4:A43,A43))</f>
        <v>24.5</v>
      </c>
      <c r="F43" s="6">
        <v>12</v>
      </c>
      <c r="G43" s="6">
        <f t="shared" si="1"/>
        <v>0</v>
      </c>
    </row>
    <row r="44" spans="1:7" x14ac:dyDescent="0.4">
      <c r="A44" s="4" t="s">
        <v>21</v>
      </c>
      <c r="B44" s="5">
        <v>46235</v>
      </c>
      <c r="C44" s="6">
        <v>22</v>
      </c>
      <c r="D44" s="7">
        <v>59.5</v>
      </c>
      <c r="E44" s="7">
        <f>IF(OR(A44="",SUMIFS(C$4:C44,A$4:A44,A44)=0),"",SUMPRODUCT((A$4:A44=A44)*(C$4:C44)*(D$4:D44))/SUMIFS(C$4:C44,A$4:A44,A44))</f>
        <v>26.505208333333332</v>
      </c>
      <c r="F44" s="6"/>
      <c r="G44" s="6">
        <f t="shared" si="1"/>
        <v>22</v>
      </c>
    </row>
    <row r="45" spans="1:7" x14ac:dyDescent="0.4">
      <c r="A45" s="4" t="s">
        <v>21</v>
      </c>
      <c r="B45" s="5">
        <v>46266</v>
      </c>
      <c r="C45" s="6">
        <v>22</v>
      </c>
      <c r="D45" s="7">
        <v>59.5</v>
      </c>
      <c r="E45" s="7">
        <f>IF(OR(A45="",SUMIFS(C$4:C45,A$4:A45,A45)=0),"",SUMPRODUCT((A$4:A45=A45)*(C$4:C45)*(D$4:D45))/SUMIFS(C$4:C45,A$4:A45,A45))</f>
        <v>28.293103448275861</v>
      </c>
      <c r="F45" s="6"/>
      <c r="G45" s="6">
        <f t="shared" si="1"/>
        <v>22</v>
      </c>
    </row>
    <row r="46" spans="1:7" x14ac:dyDescent="0.4">
      <c r="A46" s="4" t="s">
        <v>21</v>
      </c>
      <c r="B46" s="5">
        <v>46204</v>
      </c>
      <c r="C46" s="6">
        <v>30</v>
      </c>
      <c r="D46" s="7">
        <v>73.5</v>
      </c>
      <c r="E46" s="7">
        <f>IF(OR(A46="",SUMIFS(C$4:C46,A$4:A46,A46)=0),"",SUMPRODUCT((A$4:A46=A46)*(C$4:C46)*(D$4:D46))/SUMIFS(C$4:C46,A$4:A46,A46))</f>
        <v>31.403669724770641</v>
      </c>
      <c r="F46" s="6">
        <v>8</v>
      </c>
      <c r="G46" s="6">
        <f t="shared" si="1"/>
        <v>22</v>
      </c>
    </row>
    <row r="47" spans="1:7" x14ac:dyDescent="0.4">
      <c r="A47" s="4" t="s">
        <v>21</v>
      </c>
      <c r="B47" s="5">
        <v>46235</v>
      </c>
      <c r="C47" s="6"/>
      <c r="D47" s="7">
        <v>73.5</v>
      </c>
      <c r="E47" s="7">
        <f>IF(OR(A47="",SUMIFS(C$4:C47,A$4:A47,A47)=0),"",SUMPRODUCT((A$4:A47=A47)*(C$4:C47)*(D$4:D47))/SUMIFS(C$4:C47,A$4:A47,A47))</f>
        <v>31.403669724770641</v>
      </c>
      <c r="F47" s="6"/>
      <c r="G47" s="6" t="str">
        <f t="shared" si="1"/>
        <v/>
      </c>
    </row>
    <row r="48" spans="1:7" x14ac:dyDescent="0.4">
      <c r="A48" s="4" t="s">
        <v>21</v>
      </c>
      <c r="B48" s="5">
        <v>46266</v>
      </c>
      <c r="C48" s="6"/>
      <c r="D48" s="7">
        <v>73.5</v>
      </c>
      <c r="E48" s="7">
        <f>IF(OR(A48="",SUMIFS(C$4:C48,A$4:A48,A48)=0),"",SUMPRODUCT((A$4:A48=A48)*(C$4:C48)*(D$4:D48))/SUMIFS(C$4:C48,A$4:A48,A48))</f>
        <v>31.403669724770641</v>
      </c>
      <c r="F48" s="6"/>
      <c r="G48" s="6" t="str">
        <f t="shared" si="1"/>
        <v/>
      </c>
    </row>
    <row r="49" spans="1:7" x14ac:dyDescent="0.4">
      <c r="A49" s="4" t="s">
        <v>22</v>
      </c>
      <c r="B49" s="5">
        <v>45992</v>
      </c>
      <c r="C49" s="6">
        <v>165</v>
      </c>
      <c r="D49" s="7">
        <v>24.5</v>
      </c>
      <c r="E49" s="7">
        <f>IF(OR(A49="",SUMIFS(C$4:C49,A$4:A49,A49)=0),"",SUMPRODUCT((A$4:A49=A49)*(C$4:C49)*(D$4:D49))/SUMIFS(C$4:C49,A$4:A49,A49))</f>
        <v>24.5</v>
      </c>
      <c r="F49" s="6"/>
      <c r="G49" s="6">
        <f t="shared" si="1"/>
        <v>165</v>
      </c>
    </row>
    <row r="50" spans="1:7" x14ac:dyDescent="0.4">
      <c r="A50" s="4" t="s">
        <v>22</v>
      </c>
      <c r="B50" s="5">
        <v>46023</v>
      </c>
      <c r="C50" s="6">
        <v>165</v>
      </c>
      <c r="D50" s="7">
        <v>24.5</v>
      </c>
      <c r="E50" s="7">
        <f>IF(OR(A50="",SUMIFS(C$4:C50,A$4:A50,A50)=0),"",SUMPRODUCT((A$4:A50=A50)*(C$4:C50)*(D$4:D50))/SUMIFS(C$4:C50,A$4:A50,A50))</f>
        <v>24.5</v>
      </c>
      <c r="F50" s="6">
        <v>1</v>
      </c>
      <c r="G50" s="6">
        <f t="shared" si="1"/>
        <v>164</v>
      </c>
    </row>
    <row r="51" spans="1:7" x14ac:dyDescent="0.4">
      <c r="A51" s="4" t="s">
        <v>22</v>
      </c>
      <c r="B51" s="5">
        <v>46054</v>
      </c>
      <c r="C51" s="6">
        <v>164</v>
      </c>
      <c r="D51" s="7">
        <v>24.5</v>
      </c>
      <c r="E51" s="7">
        <f>IF(OR(A51="",SUMIFS(C$4:C51,A$4:A51,A51)=0),"",SUMPRODUCT((A$4:A51=A51)*(C$4:C51)*(D$4:D51))/SUMIFS(C$4:C51,A$4:A51,A51))</f>
        <v>24.5</v>
      </c>
      <c r="F51" s="6">
        <v>125</v>
      </c>
      <c r="G51" s="6">
        <f t="shared" si="1"/>
        <v>39</v>
      </c>
    </row>
    <row r="52" spans="1:7" x14ac:dyDescent="0.4">
      <c r="A52" s="4" t="s">
        <v>22</v>
      </c>
      <c r="B52" s="5">
        <v>46082</v>
      </c>
      <c r="C52" s="6">
        <v>39</v>
      </c>
      <c r="D52" s="7">
        <v>24.5</v>
      </c>
      <c r="E52" s="7">
        <f>IF(OR(A52="",SUMIFS(C$4:C52,A$4:A52,A52)=0),"",SUMPRODUCT((A$4:A52=A52)*(C$4:C52)*(D$4:D52))/SUMIFS(C$4:C52,A$4:A52,A52))</f>
        <v>24.5</v>
      </c>
      <c r="F52" s="6"/>
      <c r="G52" s="6">
        <f t="shared" si="1"/>
        <v>39</v>
      </c>
    </row>
    <row r="53" spans="1:7" x14ac:dyDescent="0.4">
      <c r="A53" s="4" t="s">
        <v>22</v>
      </c>
      <c r="B53" s="5">
        <v>46113</v>
      </c>
      <c r="C53" s="6">
        <v>289</v>
      </c>
      <c r="D53" s="7">
        <v>63.86</v>
      </c>
      <c r="E53" s="7">
        <f>IF(OR(A53="",SUMIFS(C$4:C53,A$4:A53,A53)=0),"",SUMPRODUCT((A$4:A53=A53)*(C$4:C53)*(D$4:D53))/SUMIFS(C$4:C53,A$4:A53,A53))</f>
        <v>38.338248175182486</v>
      </c>
      <c r="F53" s="6">
        <v>80</v>
      </c>
      <c r="G53" s="6">
        <f t="shared" si="1"/>
        <v>209</v>
      </c>
    </row>
    <row r="54" spans="1:7" x14ac:dyDescent="0.4">
      <c r="A54" s="4" t="s">
        <v>22</v>
      </c>
      <c r="B54" s="5">
        <v>46143</v>
      </c>
      <c r="C54" s="6">
        <v>209</v>
      </c>
      <c r="D54" s="7">
        <v>63.86</v>
      </c>
      <c r="E54" s="7">
        <f>IF(OR(A54="",SUMIFS(C$4:C54,A$4:A54,A54)=0),"",SUMPRODUCT((A$4:A54=A54)*(C$4:C54)*(D$4:D54))/SUMIFS(C$4:C54,A$4:A54,A54))</f>
        <v>43.511910766246359</v>
      </c>
      <c r="F54" s="6">
        <v>75</v>
      </c>
      <c r="G54" s="6">
        <f t="shared" si="1"/>
        <v>134</v>
      </c>
    </row>
    <row r="55" spans="1:7" x14ac:dyDescent="0.4">
      <c r="A55" s="4" t="s">
        <v>22</v>
      </c>
      <c r="B55" s="5">
        <v>46174</v>
      </c>
      <c r="C55" s="6">
        <v>134</v>
      </c>
      <c r="D55" s="7">
        <v>63.86</v>
      </c>
      <c r="E55" s="7">
        <f>IF(OR(A55="",SUMIFS(C$4:C55,A$4:A55,A55)=0),"",SUMPRODUCT((A$4:A55=A55)*(C$4:C55)*(D$4:D55))/SUMIFS(C$4:C55,A$4:A55,A55))</f>
        <v>45.852377682403429</v>
      </c>
      <c r="F55" s="6"/>
      <c r="G55" s="6">
        <f t="shared" si="1"/>
        <v>134</v>
      </c>
    </row>
    <row r="56" spans="1:7" x14ac:dyDescent="0.4">
      <c r="A56" s="4" t="s">
        <v>22</v>
      </c>
      <c r="B56" s="5">
        <v>46204</v>
      </c>
      <c r="C56" s="6">
        <v>134</v>
      </c>
      <c r="D56" s="7">
        <v>63.86</v>
      </c>
      <c r="E56" s="7">
        <f>IF(OR(A56="",SUMIFS(C$4:C56,A$4:A56,A56)=0),"",SUMPRODUCT((A$4:A56=A56)*(C$4:C56)*(D$4:D56))/SUMIFS(C$4:C56,A$4:A56,A56))</f>
        <v>47.709976905311777</v>
      </c>
      <c r="F56" s="6"/>
      <c r="G56" s="6">
        <f t="shared" si="1"/>
        <v>134</v>
      </c>
    </row>
    <row r="57" spans="1:7" x14ac:dyDescent="0.4">
      <c r="A57" s="4" t="s">
        <v>22</v>
      </c>
      <c r="B57" s="5">
        <v>46235</v>
      </c>
      <c r="C57" s="6">
        <v>234</v>
      </c>
      <c r="D57" s="7">
        <v>68.62</v>
      </c>
      <c r="E57" s="7">
        <f>IF(OR(A57="",SUMIFS(C$4:C57,A$4:A57,A57)=0),"",SUMPRODUCT((A$4:A57=A57)*(C$4:C57)*(D$4:D57))/SUMIFS(C$4:C57,A$4:A57,A57))</f>
        <v>50.901722113502935</v>
      </c>
      <c r="F57" s="6">
        <v>185</v>
      </c>
      <c r="G57" s="6">
        <f t="shared" si="1"/>
        <v>49</v>
      </c>
    </row>
    <row r="58" spans="1:7" x14ac:dyDescent="0.4">
      <c r="A58" s="4" t="s">
        <v>22</v>
      </c>
      <c r="B58" s="5">
        <v>46266</v>
      </c>
      <c r="C58" s="6">
        <v>49</v>
      </c>
      <c r="D58" s="7">
        <v>68.62</v>
      </c>
      <c r="E58" s="7">
        <f>IF(OR(A58="",SUMIFS(C$4:C58,A$4:A58,A58)=0),"",SUMPRODUCT((A$4:A58=A58)*(C$4:C58)*(D$4:D58))/SUMIFS(C$4:C58,A$4:A58,A58))</f>
        <v>51.450518331226299</v>
      </c>
      <c r="F58" s="6"/>
      <c r="G58" s="6">
        <f t="shared" si="1"/>
        <v>49</v>
      </c>
    </row>
    <row r="59" spans="1:7" x14ac:dyDescent="0.4">
      <c r="A59" s="4" t="s">
        <v>22</v>
      </c>
      <c r="B59" s="5">
        <v>46082</v>
      </c>
      <c r="C59" s="6">
        <v>250</v>
      </c>
      <c r="D59" s="7">
        <v>70</v>
      </c>
      <c r="E59" s="7">
        <f>IF(OR(A59="",SUMIFS(C$4:C59,A$4:A59,A59)=0),"",SUMPRODUCT((A$4:A59=A59)*(C$4:C59)*(D$4:D59))/SUMIFS(C$4:C59,A$4:A59,A59))</f>
        <v>53.981834061135373</v>
      </c>
      <c r="F59" s="6"/>
      <c r="G59" s="6">
        <f t="shared" si="1"/>
        <v>250</v>
      </c>
    </row>
    <row r="60" spans="1:7" x14ac:dyDescent="0.4">
      <c r="A60" s="4" t="s">
        <v>22</v>
      </c>
      <c r="B60" s="5">
        <v>46204</v>
      </c>
      <c r="C60" s="6">
        <v>100</v>
      </c>
      <c r="D60" s="7">
        <v>75</v>
      </c>
      <c r="E60" s="7">
        <f>IF(OR(A60="",SUMIFS(C$4:C60,A$4:A60,A60)=0),"",SUMPRODUCT((A$4:A60=A60)*(C$4:C60)*(D$4:D60))/SUMIFS(C$4:C60,A$4:A60,A60))</f>
        <v>55.069730848861283</v>
      </c>
      <c r="F60" s="6"/>
      <c r="G60" s="6">
        <f t="shared" si="1"/>
        <v>100</v>
      </c>
    </row>
    <row r="61" spans="1:7" x14ac:dyDescent="0.4">
      <c r="A61" s="4" t="s">
        <v>23</v>
      </c>
      <c r="B61" s="5">
        <v>45992</v>
      </c>
      <c r="C61" s="6">
        <v>20</v>
      </c>
      <c r="D61" s="7">
        <v>42</v>
      </c>
      <c r="E61" s="7">
        <f>IF(OR(A61="",SUMIFS(C$4:C61,A$4:A61,A61)=0),"",SUMPRODUCT((A$4:A61=A61)*(C$4:C61)*(D$4:D61))/SUMIFS(C$4:C61,A$4:A61,A61))</f>
        <v>42</v>
      </c>
      <c r="F61" s="6"/>
      <c r="G61" s="6">
        <f t="shared" si="1"/>
        <v>20</v>
      </c>
    </row>
    <row r="62" spans="1:7" x14ac:dyDescent="0.4">
      <c r="A62" s="4" t="s">
        <v>23</v>
      </c>
      <c r="B62" s="5">
        <v>46023</v>
      </c>
      <c r="C62" s="6">
        <v>20</v>
      </c>
      <c r="D62" s="7">
        <v>42</v>
      </c>
      <c r="E62" s="7">
        <f>IF(OR(A62="",SUMIFS(C$4:C62,A$4:A62,A62)=0),"",SUMPRODUCT((A$4:A62=A62)*(C$4:C62)*(D$4:D62))/SUMIFS(C$4:C62,A$4:A62,A62))</f>
        <v>42</v>
      </c>
      <c r="F62" s="6"/>
      <c r="G62" s="6">
        <f t="shared" si="1"/>
        <v>20</v>
      </c>
    </row>
    <row r="63" spans="1:7" x14ac:dyDescent="0.4">
      <c r="A63" s="4" t="s">
        <v>23</v>
      </c>
      <c r="B63" s="5">
        <v>46054</v>
      </c>
      <c r="C63" s="6">
        <v>20</v>
      </c>
      <c r="D63" s="7">
        <v>42</v>
      </c>
      <c r="E63" s="7">
        <f>IF(OR(A63="",SUMIFS(C$4:C63,A$4:A63,A63)=0),"",SUMPRODUCT((A$4:A63=A63)*(C$4:C63)*(D$4:D63))/SUMIFS(C$4:C63,A$4:A63,A63))</f>
        <v>42</v>
      </c>
      <c r="F63" s="6"/>
      <c r="G63" s="6">
        <f t="shared" si="1"/>
        <v>20</v>
      </c>
    </row>
    <row r="64" spans="1:7" x14ac:dyDescent="0.4">
      <c r="A64" s="4" t="s">
        <v>23</v>
      </c>
      <c r="B64" s="5">
        <v>46082</v>
      </c>
      <c r="C64" s="6">
        <v>20</v>
      </c>
      <c r="D64" s="7">
        <v>42</v>
      </c>
      <c r="E64" s="7">
        <f>IF(OR(A64="",SUMIFS(C$4:C64,A$4:A64,A64)=0),"",SUMPRODUCT((A$4:A64=A64)*(C$4:C64)*(D$4:D64))/SUMIFS(C$4:C64,A$4:A64,A64))</f>
        <v>42</v>
      </c>
      <c r="F64" s="6"/>
      <c r="G64" s="6">
        <f t="shared" si="1"/>
        <v>20</v>
      </c>
    </row>
    <row r="65" spans="1:7" x14ac:dyDescent="0.4">
      <c r="A65" s="4" t="s">
        <v>23</v>
      </c>
      <c r="B65" s="5">
        <v>46113</v>
      </c>
      <c r="C65" s="6">
        <v>20</v>
      </c>
      <c r="D65" s="7">
        <v>42</v>
      </c>
      <c r="E65" s="7">
        <f>IF(OR(A65="",SUMIFS(C$4:C65,A$4:A65,A65)=0),"",SUMPRODUCT((A$4:A65=A65)*(C$4:C65)*(D$4:D65))/SUMIFS(C$4:C65,A$4:A65,A65))</f>
        <v>42</v>
      </c>
      <c r="F65" s="6"/>
      <c r="G65" s="6">
        <f t="shared" si="1"/>
        <v>20</v>
      </c>
    </row>
    <row r="66" spans="1:7" x14ac:dyDescent="0.4">
      <c r="A66" s="4" t="s">
        <v>23</v>
      </c>
      <c r="B66" s="5">
        <v>46143</v>
      </c>
      <c r="C66" s="6">
        <v>20</v>
      </c>
      <c r="D66" s="7">
        <v>42</v>
      </c>
      <c r="E66" s="7">
        <f>IF(OR(A66="",SUMIFS(C$4:C66,A$4:A66,A66)=0),"",SUMPRODUCT((A$4:A66=A66)*(C$4:C66)*(D$4:D66))/SUMIFS(C$4:C66,A$4:A66,A66))</f>
        <v>42</v>
      </c>
      <c r="F66" s="6"/>
      <c r="G66" s="6">
        <f t="shared" si="1"/>
        <v>20</v>
      </c>
    </row>
    <row r="67" spans="1:7" x14ac:dyDescent="0.4">
      <c r="A67" s="4" t="s">
        <v>23</v>
      </c>
      <c r="B67" s="5">
        <v>46174</v>
      </c>
      <c r="C67" s="6">
        <v>30</v>
      </c>
      <c r="D67" s="7">
        <v>42</v>
      </c>
      <c r="E67" s="7">
        <f>IF(OR(A67="",SUMIFS(C$4:C67,A$4:A67,A67)=0),"",SUMPRODUCT((A$4:A67=A67)*(C$4:C67)*(D$4:D67))/SUMIFS(C$4:C67,A$4:A67,A67))</f>
        <v>42</v>
      </c>
      <c r="F67" s="6"/>
      <c r="G67" s="6">
        <f t="shared" si="1"/>
        <v>30</v>
      </c>
    </row>
    <row r="68" spans="1:7" x14ac:dyDescent="0.4">
      <c r="A68" s="4" t="s">
        <v>23</v>
      </c>
      <c r="B68" s="5">
        <v>46204</v>
      </c>
      <c r="C68" s="6">
        <v>30</v>
      </c>
      <c r="D68" s="7">
        <v>42</v>
      </c>
      <c r="E68" s="7">
        <f>IF(OR(A68="",SUMIFS(C$4:C68,A$4:A68,A68)=0),"",SUMPRODUCT((A$4:A68=A68)*(C$4:C68)*(D$4:D68))/SUMIFS(C$4:C68,A$4:A68,A68))</f>
        <v>42</v>
      </c>
      <c r="F68" s="6"/>
      <c r="G68" s="6">
        <f t="shared" ref="G68:G99" si="2">IF(C68="","",C68-IF(ISNUMBER(F68),F68,0))</f>
        <v>30</v>
      </c>
    </row>
    <row r="69" spans="1:7" x14ac:dyDescent="0.4">
      <c r="A69" s="4" t="s">
        <v>23</v>
      </c>
      <c r="B69" s="5">
        <v>46235</v>
      </c>
      <c r="C69" s="6">
        <v>30</v>
      </c>
      <c r="D69" s="7">
        <v>42</v>
      </c>
      <c r="E69" s="7">
        <f>IF(OR(A69="",SUMIFS(C$4:C69,A$4:A69,A69)=0),"",SUMPRODUCT((A$4:A69=A69)*(C$4:C69)*(D$4:D69))/SUMIFS(C$4:C69,A$4:A69,A69))</f>
        <v>42</v>
      </c>
      <c r="F69" s="6"/>
      <c r="G69" s="6">
        <f t="shared" si="2"/>
        <v>30</v>
      </c>
    </row>
    <row r="70" spans="1:7" x14ac:dyDescent="0.4">
      <c r="A70" s="4" t="s">
        <v>23</v>
      </c>
      <c r="B70" s="5">
        <v>46266</v>
      </c>
      <c r="C70" s="6">
        <v>30</v>
      </c>
      <c r="D70" s="7">
        <v>42</v>
      </c>
      <c r="E70" s="7">
        <f>IF(OR(A70="",SUMIFS(C$4:C70,A$4:A70,A70)=0),"",SUMPRODUCT((A$4:A70=A70)*(C$4:C70)*(D$4:D70))/SUMIFS(C$4:C70,A$4:A70,A70))</f>
        <v>42</v>
      </c>
      <c r="F70" s="6"/>
      <c r="G70" s="6">
        <f t="shared" si="2"/>
        <v>30</v>
      </c>
    </row>
    <row r="71" spans="1:7" x14ac:dyDescent="0.4">
      <c r="A71" s="4" t="s">
        <v>23</v>
      </c>
      <c r="B71" s="5">
        <v>46143</v>
      </c>
      <c r="C71" s="6">
        <v>10</v>
      </c>
      <c r="D71" s="7">
        <v>42</v>
      </c>
      <c r="E71" s="7">
        <f>IF(OR(A71="",SUMIFS(C$4:C71,A$4:A71,A71)=0),"",SUMPRODUCT((A$4:A71=A71)*(C$4:C71)*(D$4:D71))/SUMIFS(C$4:C71,A$4:A71,A71))</f>
        <v>42</v>
      </c>
      <c r="F71" s="6"/>
      <c r="G71" s="6">
        <f t="shared" si="2"/>
        <v>10</v>
      </c>
    </row>
    <row r="72" spans="1:7" x14ac:dyDescent="0.4">
      <c r="A72" s="4" t="s">
        <v>24</v>
      </c>
      <c r="B72" s="5">
        <v>45992</v>
      </c>
      <c r="C72" s="6">
        <v>108</v>
      </c>
      <c r="D72" s="7">
        <v>42</v>
      </c>
      <c r="E72" s="7">
        <f>IF(OR(A72="",SUMIFS(C$4:C72,A$4:A72,A72)=0),"",SUMPRODUCT((A$4:A72=A72)*(C$4:C72)*(D$4:D72))/SUMIFS(C$4:C72,A$4:A72,A72))</f>
        <v>42</v>
      </c>
      <c r="F72" s="6">
        <v>2</v>
      </c>
      <c r="G72" s="6">
        <f t="shared" si="2"/>
        <v>106</v>
      </c>
    </row>
    <row r="73" spans="1:7" x14ac:dyDescent="0.4">
      <c r="A73" s="4" t="s">
        <v>24</v>
      </c>
      <c r="B73" s="5">
        <v>46023</v>
      </c>
      <c r="C73" s="6">
        <v>106</v>
      </c>
      <c r="D73" s="7">
        <v>16.899999999999999</v>
      </c>
      <c r="E73" s="7">
        <f>IF(OR(A73="",SUMIFS(C$4:C73,A$4:A73,A73)=0),"",SUMPRODUCT((A$4:A73=A73)*(C$4:C73)*(D$4:D73))/SUMIFS(C$4:C73,A$4:A73,A73))</f>
        <v>29.567289719626167</v>
      </c>
      <c r="F73" s="6">
        <v>16</v>
      </c>
      <c r="G73" s="6">
        <f t="shared" si="2"/>
        <v>90</v>
      </c>
    </row>
    <row r="74" spans="1:7" x14ac:dyDescent="0.4">
      <c r="A74" s="4" t="s">
        <v>24</v>
      </c>
      <c r="B74" s="5">
        <v>46054</v>
      </c>
      <c r="C74" s="6">
        <v>90</v>
      </c>
      <c r="D74" s="7">
        <v>16.899999999999999</v>
      </c>
      <c r="E74" s="7">
        <f>IF(OR(A74="",SUMIFS(C$4:C74,A$4:A74,A74)=0),"",SUMPRODUCT((A$4:A74=A74)*(C$4:C74)*(D$4:D74))/SUMIFS(C$4:C74,A$4:A74,A74))</f>
        <v>25.817105263157895</v>
      </c>
      <c r="F74" s="6"/>
      <c r="G74" s="6">
        <f t="shared" si="2"/>
        <v>90</v>
      </c>
    </row>
    <row r="75" spans="1:7" x14ac:dyDescent="0.4">
      <c r="A75" s="4" t="s">
        <v>24</v>
      </c>
      <c r="B75" s="5">
        <v>46082</v>
      </c>
      <c r="C75" s="6">
        <v>90</v>
      </c>
      <c r="D75" s="7">
        <v>16.899999999999999</v>
      </c>
      <c r="E75" s="7">
        <f>IF(OR(A75="",SUMIFS(C$4:C75,A$4:A75,A75)=0),"",SUMPRODUCT((A$4:A75=A75)*(C$4:C75)*(D$4:D75))/SUMIFS(C$4:C75,A$4:A75,A75))</f>
        <v>23.78020304568528</v>
      </c>
      <c r="F75" s="6"/>
      <c r="G75" s="6">
        <f t="shared" si="2"/>
        <v>90</v>
      </c>
    </row>
    <row r="76" spans="1:7" x14ac:dyDescent="0.4">
      <c r="A76" s="4" t="s">
        <v>24</v>
      </c>
      <c r="B76" s="5">
        <v>46113</v>
      </c>
      <c r="C76" s="6">
        <v>90</v>
      </c>
      <c r="D76" s="7">
        <v>16.899999999999999</v>
      </c>
      <c r="E76" s="7">
        <f>IF(OR(A76="",SUMIFS(C$4:C76,A$4:A76,A76)=0),"",SUMPRODUCT((A$4:A76=A76)*(C$4:C76)*(D$4:D76))/SUMIFS(C$4:C76,A$4:A76,A76))</f>
        <v>22.500826446280993</v>
      </c>
      <c r="F76" s="6"/>
      <c r="G76" s="6">
        <f t="shared" si="2"/>
        <v>90</v>
      </c>
    </row>
    <row r="77" spans="1:7" x14ac:dyDescent="0.4">
      <c r="A77" s="4" t="s">
        <v>24</v>
      </c>
      <c r="B77" s="5">
        <v>46143</v>
      </c>
      <c r="C77" s="6">
        <v>90</v>
      </c>
      <c r="D77" s="7">
        <v>16.899999999999999</v>
      </c>
      <c r="E77" s="7">
        <f>IF(OR(A77="",SUMIFS(C$4:C77,A$4:A77,A77)=0),"",SUMPRODUCT((A$4:A77=A77)*(C$4:C77)*(D$4:D77))/SUMIFS(C$4:C77,A$4:A77,A77))</f>
        <v>21.622648083623695</v>
      </c>
      <c r="F77" s="6">
        <v>18</v>
      </c>
      <c r="G77" s="6">
        <f t="shared" si="2"/>
        <v>72</v>
      </c>
    </row>
    <row r="78" spans="1:7" x14ac:dyDescent="0.4">
      <c r="A78" s="4" t="s">
        <v>24</v>
      </c>
      <c r="B78" s="5">
        <v>46174</v>
      </c>
      <c r="C78" s="6">
        <v>72</v>
      </c>
      <c r="D78" s="7">
        <v>16.899999999999999</v>
      </c>
      <c r="E78" s="7">
        <f>IF(OR(A78="",SUMIFS(C$4:C78,A$4:A78,A78)=0),"",SUMPRODUCT((A$4:A78=A78)*(C$4:C78)*(D$4:D78))/SUMIFS(C$4:C78,A$4:A78,A78))</f>
        <v>21.096284829721359</v>
      </c>
      <c r="F78" s="6"/>
      <c r="G78" s="6">
        <f t="shared" si="2"/>
        <v>72</v>
      </c>
    </row>
    <row r="79" spans="1:7" x14ac:dyDescent="0.4">
      <c r="A79" s="4" t="s">
        <v>24</v>
      </c>
      <c r="B79" s="5">
        <v>46204</v>
      </c>
      <c r="C79" s="6">
        <v>72</v>
      </c>
      <c r="D79" s="7">
        <v>16.899999999999999</v>
      </c>
      <c r="E79" s="7">
        <f>IF(OR(A79="",SUMIFS(C$4:C79,A$4:A79,A79)=0),"",SUMPRODUCT((A$4:A79=A79)*(C$4:C79)*(D$4:D79))/SUMIFS(C$4:C79,A$4:A79,A79))</f>
        <v>20.675487465181057</v>
      </c>
      <c r="F79" s="6"/>
      <c r="G79" s="6">
        <f t="shared" si="2"/>
        <v>72</v>
      </c>
    </row>
    <row r="80" spans="1:7" x14ac:dyDescent="0.4">
      <c r="A80" s="4" t="s">
        <v>24</v>
      </c>
      <c r="B80" s="5">
        <v>46235</v>
      </c>
      <c r="C80" s="6">
        <v>72</v>
      </c>
      <c r="D80" s="7">
        <v>16.899999999999999</v>
      </c>
      <c r="E80" s="7">
        <f>IF(OR(A80="",SUMIFS(C$4:C80,A$4:A80,A80)=0),"",SUMPRODUCT((A$4:A80=A80)*(C$4:C80)*(D$4:D80))/SUMIFS(C$4:C80,A$4:A80,A80))</f>
        <v>20.331392405063287</v>
      </c>
      <c r="F80" s="6"/>
      <c r="G80" s="6">
        <f t="shared" si="2"/>
        <v>72</v>
      </c>
    </row>
    <row r="81" spans="1:7" x14ac:dyDescent="0.4">
      <c r="A81" s="4" t="s">
        <v>24</v>
      </c>
      <c r="B81" s="5">
        <v>46266</v>
      </c>
      <c r="C81" s="6">
        <v>72</v>
      </c>
      <c r="D81" s="7">
        <v>16.899999999999999</v>
      </c>
      <c r="E81" s="7">
        <f>IF(OR(A81="",SUMIFS(C$4:C81,A$4:A81,A81)=0),"",SUMPRODUCT((A$4:A81=A81)*(C$4:C81)*(D$4:D81))/SUMIFS(C$4:C81,A$4:A81,A81))</f>
        <v>20.044779582366587</v>
      </c>
      <c r="F81" s="6"/>
      <c r="G81" s="6">
        <f t="shared" si="2"/>
        <v>72</v>
      </c>
    </row>
    <row r="82" spans="1:7" x14ac:dyDescent="0.4">
      <c r="A82" s="4"/>
      <c r="B82" s="5"/>
      <c r="C82" s="6"/>
      <c r="D82" s="7"/>
      <c r="E82" s="7" t="str">
        <f>IF(OR(A82="",SUMIFS(C$4:C82,A$4:A82,A82)=0),"",SUMPRODUCT((A$4:A82=A82)*(C$4:C82)*(D$4:D82))/SUMIFS(C$4:C82,A$4:A82,A82))</f>
        <v/>
      </c>
      <c r="F82" s="6"/>
      <c r="G82" s="6" t="str">
        <f t="shared" si="2"/>
        <v/>
      </c>
    </row>
    <row r="83" spans="1:7" x14ac:dyDescent="0.4">
      <c r="A83" s="4"/>
      <c r="B83" s="5"/>
      <c r="C83" s="6"/>
      <c r="D83" s="7"/>
      <c r="E83" s="7" t="str">
        <f>IF(OR(A83="",SUMIFS(C$4:C83,A$4:A83,A83)=0),"",SUMPRODUCT((A$4:A83=A83)*(C$4:C83)*(D$4:D83))/SUMIFS(C$4:C83,A$4:A83,A83))</f>
        <v/>
      </c>
      <c r="F83" s="6"/>
      <c r="G83" s="6" t="str">
        <f t="shared" si="2"/>
        <v/>
      </c>
    </row>
    <row r="84" spans="1:7" x14ac:dyDescent="0.4">
      <c r="A84" s="4"/>
      <c r="B84" s="5"/>
      <c r="C84" s="6"/>
      <c r="D84" s="7"/>
      <c r="E84" s="7" t="str">
        <f>IF(OR(A84="",SUMIFS(C$4:C84,A$4:A84,A84)=0),"",SUMPRODUCT((A$4:A84=A84)*(C$4:C84)*(D$4:D84))/SUMIFS(C$4:C84,A$4:A84,A84))</f>
        <v/>
      </c>
      <c r="F84" s="6"/>
      <c r="G84" s="6" t="str">
        <f t="shared" si="2"/>
        <v/>
      </c>
    </row>
    <row r="85" spans="1:7" x14ac:dyDescent="0.4">
      <c r="A85" s="4"/>
      <c r="B85" s="5"/>
      <c r="C85" s="6"/>
      <c r="D85" s="7"/>
      <c r="E85" s="7" t="str">
        <f>IF(OR(A85="",SUMIFS(C$4:C85,A$4:A85,A85)=0),"",SUMPRODUCT((A$4:A85=A85)*(C$4:C85)*(D$4:D85))/SUMIFS(C$4:C85,A$4:A85,A85))</f>
        <v/>
      </c>
      <c r="F85" s="6"/>
      <c r="G85" s="6" t="str">
        <f t="shared" si="2"/>
        <v/>
      </c>
    </row>
    <row r="86" spans="1:7" x14ac:dyDescent="0.4">
      <c r="A86" s="4"/>
      <c r="B86" s="5"/>
      <c r="C86" s="6"/>
      <c r="D86" s="7"/>
      <c r="E86" s="7" t="str">
        <f>IF(OR(A86="",SUMIFS(C$4:C86,A$4:A86,A86)=0),"",SUMPRODUCT((A$4:A86=A86)*(C$4:C86)*(D$4:D86))/SUMIFS(C$4:C86,A$4:A86,A86))</f>
        <v/>
      </c>
      <c r="F86" s="6"/>
      <c r="G86" s="6" t="str">
        <f t="shared" si="2"/>
        <v/>
      </c>
    </row>
    <row r="87" spans="1:7" x14ac:dyDescent="0.4">
      <c r="A87" s="4"/>
      <c r="B87" s="5"/>
      <c r="C87" s="6"/>
      <c r="D87" s="7"/>
      <c r="E87" s="7" t="str">
        <f>IF(OR(A87="",SUMIFS(C$4:C87,A$4:A87,A87)=0),"",SUMPRODUCT((A$4:A87=A87)*(C$4:C87)*(D$4:D87))/SUMIFS(C$4:C87,A$4:A87,A87))</f>
        <v/>
      </c>
      <c r="F87" s="6"/>
      <c r="G87" s="6" t="str">
        <f t="shared" si="2"/>
        <v/>
      </c>
    </row>
    <row r="88" spans="1:7" x14ac:dyDescent="0.4">
      <c r="A88" s="4"/>
      <c r="B88" s="5"/>
      <c r="C88" s="6"/>
      <c r="D88" s="7"/>
      <c r="E88" s="7" t="str">
        <f>IF(OR(A88="",SUMIFS(C$4:C88,A$4:A88,A88)=0),"",SUMPRODUCT((A$4:A88=A88)*(C$4:C88)*(D$4:D88))/SUMIFS(C$4:C88,A$4:A88,A88))</f>
        <v/>
      </c>
      <c r="F88" s="6"/>
      <c r="G88" s="6" t="str">
        <f t="shared" si="2"/>
        <v/>
      </c>
    </row>
    <row r="89" spans="1:7" x14ac:dyDescent="0.4">
      <c r="A89" s="4"/>
      <c r="B89" s="5"/>
      <c r="C89" s="6"/>
      <c r="D89" s="7"/>
      <c r="E89" s="7" t="str">
        <f>IF(OR(A89="",SUMIFS(C$4:C89,A$4:A89,A89)=0),"",SUMPRODUCT((A$4:A89=A89)*(C$4:C89)*(D$4:D89))/SUMIFS(C$4:C89,A$4:A89,A89))</f>
        <v/>
      </c>
      <c r="F89" s="6"/>
      <c r="G89" s="6" t="str">
        <f t="shared" si="2"/>
        <v/>
      </c>
    </row>
    <row r="90" spans="1:7" x14ac:dyDescent="0.4">
      <c r="A90" s="4"/>
      <c r="B90" s="5"/>
      <c r="C90" s="6"/>
      <c r="D90" s="7"/>
      <c r="E90" s="7" t="str">
        <f>IF(OR(A90="",SUMIFS(C$4:C90,A$4:A90,A90)=0),"",SUMPRODUCT((A$4:A90=A90)*(C$4:C90)*(D$4:D90))/SUMIFS(C$4:C90,A$4:A90,A90))</f>
        <v/>
      </c>
      <c r="F90" s="6"/>
      <c r="G90" s="6" t="str">
        <f t="shared" si="2"/>
        <v/>
      </c>
    </row>
    <row r="91" spans="1:7" x14ac:dyDescent="0.4">
      <c r="A91" s="4"/>
      <c r="B91" s="5"/>
      <c r="C91" s="6"/>
      <c r="D91" s="7"/>
      <c r="E91" s="7" t="str">
        <f>IF(OR(A91="",SUMIFS(C$4:C91,A$4:A91,A91)=0),"",SUMPRODUCT((A$4:A91=A91)*(C$4:C91)*(D$4:D91))/SUMIFS(C$4:C91,A$4:A91,A91))</f>
        <v/>
      </c>
      <c r="F91" s="6"/>
      <c r="G91" s="6" t="str">
        <f t="shared" si="2"/>
        <v/>
      </c>
    </row>
    <row r="92" spans="1:7" x14ac:dyDescent="0.4">
      <c r="A92" s="4"/>
      <c r="B92" s="5"/>
      <c r="C92" s="6"/>
      <c r="D92" s="7"/>
      <c r="E92" s="7" t="str">
        <f>IF(OR(A92="",SUMIFS(C$4:C92,A$4:A92,A92)=0),"",SUMPRODUCT((A$4:A92=A92)*(C$4:C92)*(D$4:D92))/SUMIFS(C$4:C92,A$4:A92,A92))</f>
        <v/>
      </c>
      <c r="F92" s="6"/>
      <c r="G92" s="6" t="str">
        <f t="shared" si="2"/>
        <v/>
      </c>
    </row>
    <row r="93" spans="1:7" x14ac:dyDescent="0.4">
      <c r="A93" s="4"/>
      <c r="B93" s="5"/>
      <c r="C93" s="6"/>
      <c r="D93" s="7"/>
      <c r="E93" s="7" t="str">
        <f>IF(OR(A93="",SUMIFS(C$4:C93,A$4:A93,A93)=0),"",SUMPRODUCT((A$4:A93=A93)*(C$4:C93)*(D$4:D93))/SUMIFS(C$4:C93,A$4:A93,A93))</f>
        <v/>
      </c>
      <c r="F93" s="6"/>
      <c r="G93" s="6" t="str">
        <f t="shared" si="2"/>
        <v/>
      </c>
    </row>
    <row r="94" spans="1:7" x14ac:dyDescent="0.4">
      <c r="A94" s="4"/>
      <c r="B94" s="5"/>
      <c r="C94" s="6"/>
      <c r="D94" s="7"/>
      <c r="E94" s="7" t="str">
        <f>IF(OR(A94="",SUMIFS(C$4:C94,A$4:A94,A94)=0),"",SUMPRODUCT((A$4:A94=A94)*(C$4:C94)*(D$4:D94))/SUMIFS(C$4:C94,A$4:A94,A94))</f>
        <v/>
      </c>
      <c r="F94" s="6"/>
      <c r="G94" s="6" t="str">
        <f t="shared" si="2"/>
        <v/>
      </c>
    </row>
    <row r="95" spans="1:7" x14ac:dyDescent="0.4">
      <c r="A95" s="4"/>
      <c r="B95" s="5"/>
      <c r="C95" s="6"/>
      <c r="D95" s="7"/>
      <c r="E95" s="7" t="str">
        <f>IF(OR(A95="",SUMIFS(C$4:C95,A$4:A95,A95)=0),"",SUMPRODUCT((A$4:A95=A95)*(C$4:C95)*(D$4:D95))/SUMIFS(C$4:C95,A$4:A95,A95))</f>
        <v/>
      </c>
      <c r="F95" s="6"/>
      <c r="G95" s="6" t="str">
        <f t="shared" si="2"/>
        <v/>
      </c>
    </row>
    <row r="96" spans="1:7" x14ac:dyDescent="0.4">
      <c r="A96" s="4"/>
      <c r="B96" s="5"/>
      <c r="C96" s="6"/>
      <c r="D96" s="7"/>
      <c r="E96" s="7" t="str">
        <f>IF(OR(A96="",SUMIFS(C$4:C96,A$4:A96,A96)=0),"",SUMPRODUCT((A$4:A96=A96)*(C$4:C96)*(D$4:D96))/SUMIFS(C$4:C96,A$4:A96,A96))</f>
        <v/>
      </c>
      <c r="F96" s="6"/>
      <c r="G96" s="6" t="str">
        <f t="shared" si="2"/>
        <v/>
      </c>
    </row>
    <row r="97" spans="1:7" x14ac:dyDescent="0.4">
      <c r="A97" s="4"/>
      <c r="B97" s="5"/>
      <c r="C97" s="6"/>
      <c r="D97" s="7"/>
      <c r="E97" s="7" t="str">
        <f>IF(OR(A97="",SUMIFS(C$4:C97,A$4:A97,A97)=0),"",SUMPRODUCT((A$4:A97=A97)*(C$4:C97)*(D$4:D97))/SUMIFS(C$4:C97,A$4:A97,A97))</f>
        <v/>
      </c>
      <c r="F97" s="6"/>
      <c r="G97" s="6" t="str">
        <f t="shared" si="2"/>
        <v/>
      </c>
    </row>
    <row r="98" spans="1:7" x14ac:dyDescent="0.4">
      <c r="A98" s="4"/>
      <c r="B98" s="5"/>
      <c r="C98" s="6"/>
      <c r="D98" s="7"/>
      <c r="E98" s="7" t="str">
        <f>IF(OR(A98="",SUMIFS(C$4:C98,A$4:A98,A98)=0),"",SUMPRODUCT((A$4:A98=A98)*(C$4:C98)*(D$4:D98))/SUMIFS(C$4:C98,A$4:A98,A98))</f>
        <v/>
      </c>
      <c r="F98" s="6"/>
      <c r="G98" s="6" t="str">
        <f t="shared" si="2"/>
        <v/>
      </c>
    </row>
    <row r="99" spans="1:7" x14ac:dyDescent="0.4">
      <c r="A99" s="4"/>
      <c r="B99" s="5"/>
      <c r="C99" s="6"/>
      <c r="D99" s="7"/>
      <c r="E99" s="7" t="str">
        <f>IF(OR(A99="",SUMIFS(C$4:C99,A$4:A99,A99)=0),"",SUMPRODUCT((A$4:A99=A99)*(C$4:C99)*(D$4:D99))/SUMIFS(C$4:C99,A$4:A99,A99))</f>
        <v/>
      </c>
      <c r="F99" s="6"/>
      <c r="G99" s="6" t="str">
        <f t="shared" si="2"/>
        <v/>
      </c>
    </row>
    <row r="100" spans="1:7" x14ac:dyDescent="0.4">
      <c r="A100" s="4"/>
      <c r="B100" s="5"/>
      <c r="C100" s="6"/>
      <c r="D100" s="7"/>
      <c r="E100" s="7" t="str">
        <f>IF(OR(A100="",SUMIFS(C$4:C100,A$4:A100,A100)=0),"",SUMPRODUCT((A$4:A100=A100)*(C$4:C100)*(D$4:D100))/SUMIFS(C$4:C100,A$4:A100,A100))</f>
        <v/>
      </c>
      <c r="F100" s="6"/>
      <c r="G100" s="6" t="str">
        <f t="shared" ref="G100:G131" si="3">IF(C100="","",C100-IF(ISNUMBER(F100),F100,0))</f>
        <v/>
      </c>
    </row>
    <row r="101" spans="1:7" x14ac:dyDescent="0.4">
      <c r="A101" s="4"/>
      <c r="B101" s="5"/>
      <c r="C101" s="6"/>
      <c r="D101" s="7"/>
      <c r="E101" s="7" t="str">
        <f>IF(OR(A101="",SUMIFS(C$4:C101,A$4:A101,A101)=0),"",SUMPRODUCT((A$4:A101=A101)*(C$4:C101)*(D$4:D101))/SUMIFS(C$4:C101,A$4:A101,A101))</f>
        <v/>
      </c>
      <c r="F101" s="6"/>
      <c r="G101" s="6" t="str">
        <f t="shared" si="3"/>
        <v/>
      </c>
    </row>
    <row r="102" spans="1:7" x14ac:dyDescent="0.4">
      <c r="A102" s="4"/>
      <c r="B102" s="5"/>
      <c r="C102" s="6"/>
      <c r="D102" s="7"/>
      <c r="E102" s="7" t="str">
        <f>IF(OR(A102="",SUMIFS(C$4:C102,A$4:A102,A102)=0),"",SUMPRODUCT((A$4:A102=A102)*(C$4:C102)*(D$4:D102))/SUMIFS(C$4:C102,A$4:A102,A102))</f>
        <v/>
      </c>
      <c r="F102" s="6"/>
      <c r="G102" s="6" t="str">
        <f t="shared" si="3"/>
        <v/>
      </c>
    </row>
    <row r="103" spans="1:7" x14ac:dyDescent="0.4">
      <c r="A103" s="4"/>
      <c r="B103" s="5"/>
      <c r="C103" s="6"/>
      <c r="D103" s="7"/>
      <c r="E103" s="7" t="str">
        <f>IF(OR(A103="",SUMIFS(C$4:C103,A$4:A103,A103)=0),"",SUMPRODUCT((A$4:A103=A103)*(C$4:C103)*(D$4:D103))/SUMIFS(C$4:C103,A$4:A103,A103))</f>
        <v/>
      </c>
      <c r="F103" s="6"/>
      <c r="G103" s="6" t="str">
        <f t="shared" si="3"/>
        <v/>
      </c>
    </row>
    <row r="104" spans="1:7" x14ac:dyDescent="0.4">
      <c r="A104" s="4"/>
      <c r="B104" s="5"/>
      <c r="C104" s="6"/>
      <c r="D104" s="7"/>
      <c r="E104" s="7" t="str">
        <f>IF(OR(A104="",SUMIFS(C$4:C104,A$4:A104,A104)=0),"",SUMPRODUCT((A$4:A104=A104)*(C$4:C104)*(D$4:D104))/SUMIFS(C$4:C104,A$4:A104,A104))</f>
        <v/>
      </c>
      <c r="F104" s="6"/>
      <c r="G104" s="6" t="str">
        <f t="shared" si="3"/>
        <v/>
      </c>
    </row>
    <row r="105" spans="1:7" x14ac:dyDescent="0.4">
      <c r="A105" s="4"/>
      <c r="B105" s="5"/>
      <c r="C105" s="6"/>
      <c r="D105" s="7"/>
      <c r="E105" s="7" t="str">
        <f>IF(OR(A105="",SUMIFS(C$4:C105,A$4:A105,A105)=0),"",SUMPRODUCT((A$4:A105=A105)*(C$4:C105)*(D$4:D105))/SUMIFS(C$4:C105,A$4:A105,A105))</f>
        <v/>
      </c>
      <c r="F105" s="6"/>
      <c r="G105" s="6" t="str">
        <f t="shared" si="3"/>
        <v/>
      </c>
    </row>
    <row r="106" spans="1:7" x14ac:dyDescent="0.4">
      <c r="A106" s="4"/>
      <c r="B106" s="5"/>
      <c r="C106" s="6"/>
      <c r="D106" s="7"/>
      <c r="E106" s="7" t="str">
        <f>IF(OR(A106="",SUMIFS(C$4:C106,A$4:A106,A106)=0),"",SUMPRODUCT((A$4:A106=A106)*(C$4:C106)*(D$4:D106))/SUMIFS(C$4:C106,A$4:A106,A106))</f>
        <v/>
      </c>
      <c r="F106" s="6"/>
      <c r="G106" s="6" t="str">
        <f t="shared" si="3"/>
        <v/>
      </c>
    </row>
    <row r="107" spans="1:7" x14ac:dyDescent="0.4">
      <c r="A107" s="4"/>
      <c r="B107" s="5"/>
      <c r="C107" s="6"/>
      <c r="D107" s="7"/>
      <c r="E107" s="7" t="str">
        <f>IF(OR(A107="",SUMIFS(C$4:C107,A$4:A107,A107)=0),"",SUMPRODUCT((A$4:A107=A107)*(C$4:C107)*(D$4:D107))/SUMIFS(C$4:C107,A$4:A107,A107))</f>
        <v/>
      </c>
      <c r="F107" s="6"/>
      <c r="G107" s="6" t="str">
        <f t="shared" si="3"/>
        <v/>
      </c>
    </row>
    <row r="108" spans="1:7" x14ac:dyDescent="0.4">
      <c r="A108" s="4"/>
      <c r="B108" s="5"/>
      <c r="C108" s="6"/>
      <c r="D108" s="7"/>
      <c r="E108" s="7" t="str">
        <f>IF(OR(A108="",SUMIFS(C$4:C108,A$4:A108,A108)=0),"",SUMPRODUCT((A$4:A108=A108)*(C$4:C108)*(D$4:D108))/SUMIFS(C$4:C108,A$4:A108,A108))</f>
        <v/>
      </c>
      <c r="F108" s="6"/>
      <c r="G108" s="6" t="str">
        <f t="shared" si="3"/>
        <v/>
      </c>
    </row>
    <row r="109" spans="1:7" x14ac:dyDescent="0.4">
      <c r="A109" s="4"/>
      <c r="B109" s="5"/>
      <c r="C109" s="6"/>
      <c r="D109" s="7"/>
      <c r="E109" s="7" t="str">
        <f>IF(OR(A109="",SUMIFS(C$4:C109,A$4:A109,A109)=0),"",SUMPRODUCT((A$4:A109=A109)*(C$4:C109)*(D$4:D109))/SUMIFS(C$4:C109,A$4:A109,A109))</f>
        <v/>
      </c>
      <c r="F109" s="6"/>
      <c r="G109" s="6" t="str">
        <f t="shared" si="3"/>
        <v/>
      </c>
    </row>
    <row r="110" spans="1:7" x14ac:dyDescent="0.4">
      <c r="A110" s="4"/>
      <c r="B110" s="5"/>
      <c r="C110" s="6"/>
      <c r="D110" s="7"/>
      <c r="E110" s="7" t="str">
        <f>IF(OR(A110="",SUMIFS(C$4:C110,A$4:A110,A110)=0),"",SUMPRODUCT((A$4:A110=A110)*(C$4:C110)*(D$4:D110))/SUMIFS(C$4:C110,A$4:A110,A110))</f>
        <v/>
      </c>
      <c r="F110" s="6"/>
      <c r="G110" s="6" t="str">
        <f t="shared" si="3"/>
        <v/>
      </c>
    </row>
    <row r="111" spans="1:7" x14ac:dyDescent="0.4">
      <c r="A111" s="4"/>
      <c r="B111" s="5"/>
      <c r="C111" s="6"/>
      <c r="D111" s="7"/>
      <c r="E111" s="7" t="str">
        <f>IF(OR(A111="",SUMIFS(C$4:C111,A$4:A111,A111)=0),"",SUMPRODUCT((A$4:A111=A111)*(C$4:C111)*(D$4:D111))/SUMIFS(C$4:C111,A$4:A111,A111))</f>
        <v/>
      </c>
      <c r="F111" s="6"/>
      <c r="G111" s="6" t="str">
        <f t="shared" si="3"/>
        <v/>
      </c>
    </row>
    <row r="112" spans="1:7" x14ac:dyDescent="0.4">
      <c r="A112" s="8" t="s">
        <v>33</v>
      </c>
      <c r="B112" s="8"/>
      <c r="C112" s="9">
        <f>SUM(C4:C111)</f>
        <v>43987</v>
      </c>
      <c r="D112" s="10">
        <f>IF(SUM(C4:C111)=0,0,SUMPRODUCT(C4:C111,D4:D111)/SUM(C4:C111))</f>
        <v>39.682800372837427</v>
      </c>
      <c r="E112" s="10">
        <f>AVERAGEIF(E4:E111,"&lt;&gt;0")</f>
        <v>32.407821946706441</v>
      </c>
      <c r="F112" s="9">
        <f>SUM(F4:F111)</f>
        <v>6606</v>
      </c>
      <c r="G112" s="9">
        <f>SUM(G4:G111)</f>
        <v>37381</v>
      </c>
    </row>
  </sheetData>
  <phoneticPr fontId="5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모델명을 선택해주세요." promptTitle="모델 선택" prompt="드롭다운에서 모델을 선택하세요.">
          <x14:formula1>
            <xm:f>모델_마스터!$B$14:$B$19</xm:f>
          </x14:formula1>
          <xm:sqref>A4:A111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모델_마스터</vt:lpstr>
      <vt:lpstr>MB</vt:lpstr>
      <vt:lpstr>SAP-600 MB</vt:lpstr>
      <vt:lpstr>Android MB</vt:lpstr>
      <vt:lpstr>DDR4</vt:lpstr>
      <vt:lpstr>SSD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SH-</cp:lastModifiedBy>
  <dcterms:created xsi:type="dcterms:W3CDTF">2026-08-11T22:45:14Z</dcterms:created>
  <dcterms:modified xsi:type="dcterms:W3CDTF">2026-08-11T23:27:24Z</dcterms:modified>
</cp:coreProperties>
</file>